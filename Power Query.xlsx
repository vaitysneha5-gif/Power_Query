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AE24B004-8A2F-4E4F-B063-C08F84F642BC}" xr6:coauthVersionLast="47" xr6:coauthVersionMax="47" xr10:uidLastSave="{00000000-0000-0000-0000-000000000000}"/>
  <bookViews>
    <workbookView xWindow="-108" yWindow="-108" windowWidth="23256" windowHeight="12456" activeTab="1" xr2:uid="{32F2277C-F307-45B4-A365-C865CA7A7CBB}"/>
  </bookViews>
  <sheets>
    <sheet name="Clean Data" sheetId="2" r:id="rId1"/>
    <sheet name="Popullation Data 2025" sheetId="4" r:id="rId2"/>
    <sheet name="Sheet2" sheetId="3" r:id="rId3"/>
    <sheet name="Row Data" sheetId="1" r:id="rId4"/>
  </sheets>
  <externalReferences>
    <externalReference r:id="rId5"/>
  </externalReferences>
  <definedNames>
    <definedName name="ExternalData_1" localSheetId="0" hidden="1">'Clean Data'!$A$1:$K$59</definedName>
    <definedName name="ExternalData_1" localSheetId="1" hidden="1">'Popullation Data 2025'!$A$1:$E$95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1" l="1"/>
  <c r="H66" i="1"/>
  <c r="H65" i="1"/>
  <c r="H60" i="1"/>
  <c r="H61" i="1"/>
  <c r="H26" i="1"/>
  <c r="H25" i="1"/>
  <c r="H24" i="1"/>
  <c r="H23" i="1"/>
  <c r="H22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H4" i="1"/>
  <c r="H3" i="1"/>
  <c r="H2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50" i="1"/>
  <c r="H49" i="1"/>
  <c r="H48" i="1"/>
  <c r="H47" i="1"/>
  <c r="H46" i="1"/>
  <c r="H45" i="1"/>
  <c r="H44" i="1"/>
  <c r="H41" i="1"/>
  <c r="H40" i="1"/>
  <c r="H64" i="1"/>
  <c r="H63" i="1"/>
  <c r="H62" i="1"/>
  <c r="H59" i="1"/>
  <c r="H58" i="1"/>
  <c r="H56" i="1"/>
  <c r="H55" i="1"/>
  <c r="H54" i="1"/>
  <c r="H53" i="1"/>
  <c r="H52" i="1"/>
  <c r="H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0E7A6-58B0-4B7B-B05E-952586CE3107}" keepAlive="1" name="Query - Popullation Data 2025" description="Connection to the 'Popullation Data 2025' query in the workbook." type="5" refreshedVersion="8" background="1" saveData="1">
    <dbPr connection="Provider=Microsoft.Mashup.OleDb.1;Data Source=$Workbook$;Location=&quot;Popullation Data 2025&quot;;Extended Properties=&quot;&quot;" command="SELECT * FROM [Popullation Data 2025]"/>
  </connection>
  <connection id="2" xr16:uid="{4EF81800-0356-4148-A179-7F91E636906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<sst xmlns="http://schemas.openxmlformats.org/spreadsheetml/2006/main" count="1085" uniqueCount="220">
  <si>
    <t>Segment</t>
  </si>
  <si>
    <t>City</t>
  </si>
  <si>
    <t>State</t>
  </si>
  <si>
    <t>Region</t>
  </si>
  <si>
    <t>Category</t>
  </si>
  <si>
    <t>Sub-Category</t>
  </si>
  <si>
    <t>Sales</t>
  </si>
  <si>
    <t>Quantity</t>
  </si>
  <si>
    <t>Consumer</t>
  </si>
  <si>
    <t>Houston</t>
  </si>
  <si>
    <t>Texas</t>
  </si>
  <si>
    <t>Central</t>
  </si>
  <si>
    <t>Office Supplies</t>
  </si>
  <si>
    <t>Paper</t>
  </si>
  <si>
    <t>Home Office</t>
  </si>
  <si>
    <t>Naperville</t>
  </si>
  <si>
    <t>Illinois</t>
  </si>
  <si>
    <t>Labels</t>
  </si>
  <si>
    <t>Storage</t>
  </si>
  <si>
    <t>Binders</t>
  </si>
  <si>
    <t>Philadelphia</t>
  </si>
  <si>
    <t>Pennsylvania</t>
  </si>
  <si>
    <t>East</t>
  </si>
  <si>
    <t>Art</t>
  </si>
  <si>
    <t>Los Angeles</t>
  </si>
  <si>
    <t>California</t>
  </si>
  <si>
    <t>West</t>
  </si>
  <si>
    <t>Corporate</t>
  </si>
  <si>
    <t>Athens</t>
  </si>
  <si>
    <t>Georgia</t>
  </si>
  <si>
    <t>South</t>
  </si>
  <si>
    <t>Henderson</t>
  </si>
  <si>
    <t>Kentucky</t>
  </si>
  <si>
    <t>Furniture</t>
  </si>
  <si>
    <t>Chairs</t>
  </si>
  <si>
    <t>Technology</t>
  </si>
  <si>
    <t>Phones</t>
  </si>
  <si>
    <t>Fasteners</t>
  </si>
  <si>
    <t>Huntsville</t>
  </si>
  <si>
    <t>Furnishings</t>
  </si>
  <si>
    <t>Laredo</t>
  </si>
  <si>
    <t>Accessories</t>
  </si>
  <si>
    <t>Springfield</t>
  </si>
  <si>
    <t>Virginia</t>
  </si>
  <si>
    <t>Dover</t>
  </si>
  <si>
    <t>Delaware</t>
  </si>
  <si>
    <t>Bossier City</t>
  </si>
  <si>
    <t>Louisiana</t>
  </si>
  <si>
    <t>Envelopes</t>
  </si>
  <si>
    <t>Mount Pleasant</t>
  </si>
  <si>
    <t>South Carolina</t>
  </si>
  <si>
    <t>San Francisco</t>
  </si>
  <si>
    <t>Bookcases</t>
  </si>
  <si>
    <t>Newark</t>
  </si>
  <si>
    <t>Ohio</t>
  </si>
  <si>
    <t>Roswell</t>
  </si>
  <si>
    <t>Oregon</t>
  </si>
  <si>
    <t>Appliances</t>
  </si>
  <si>
    <t>Scottsdale</t>
  </si>
  <si>
    <t>Arizona</t>
  </si>
  <si>
    <t>Jonesboro</t>
  </si>
  <si>
    <t>Arkansas</t>
  </si>
  <si>
    <t>Westland</t>
  </si>
  <si>
    <t>Michigan</t>
  </si>
  <si>
    <t xml:space="preserve">E </t>
  </si>
  <si>
    <t xml:space="preserve">S </t>
  </si>
  <si>
    <t xml:space="preserve">C </t>
  </si>
  <si>
    <t>Date</t>
  </si>
  <si>
    <t>Online</t>
  </si>
  <si>
    <t>Quarters(ROUNDUP)</t>
  </si>
  <si>
    <t>Q3</t>
  </si>
  <si>
    <t>19-01-2026</t>
  </si>
  <si>
    <t>Yes</t>
  </si>
  <si>
    <t>Q1</t>
  </si>
  <si>
    <t>No</t>
  </si>
  <si>
    <t>21-01-2026</t>
  </si>
  <si>
    <t>23-01-2026</t>
  </si>
  <si>
    <t>30-01-2026</t>
  </si>
  <si>
    <t>Virar</t>
  </si>
  <si>
    <t>Nawapur</t>
  </si>
  <si>
    <t>7</t>
  </si>
  <si>
    <t>S</t>
  </si>
  <si>
    <t>Year</t>
  </si>
  <si>
    <t>Population</t>
  </si>
  <si>
    <t>Yearly % Change</t>
  </si>
  <si>
    <t>Net Change</t>
  </si>
  <si>
    <t>Density (P/Km²)</t>
  </si>
  <si>
    <t>0.84%</t>
  </si>
  <si>
    <t>69,065,325</t>
  </si>
  <si>
    <t>0.85%</t>
  </si>
  <si>
    <t>69,640,498</t>
  </si>
  <si>
    <t>0.87%</t>
  </si>
  <si>
    <t>70,237,642</t>
  </si>
  <si>
    <t>0.88%</t>
  </si>
  <si>
    <t>70,327,738</t>
  </si>
  <si>
    <t>66,958,801</t>
  </si>
  <si>
    <t>0.86%</t>
  </si>
  <si>
    <t>67,447,099</t>
  </si>
  <si>
    <t>0.97%</t>
  </si>
  <si>
    <t>75,707,594</t>
  </si>
  <si>
    <t>1.05%</t>
  </si>
  <si>
    <t>81,390,917</t>
  </si>
  <si>
    <t>1.1%</t>
  </si>
  <si>
    <t>84,284,827</t>
  </si>
  <si>
    <t>1.15%</t>
  </si>
  <si>
    <t>87,063,428</t>
  </si>
  <si>
    <t>1.18%</t>
  </si>
  <si>
    <t>88,062,654</t>
  </si>
  <si>
    <t>1.2%</t>
  </si>
  <si>
    <t>88,875,628</t>
  </si>
  <si>
    <t>1.23%</t>
  </si>
  <si>
    <t>89,822,659</t>
  </si>
  <si>
    <t>1.26%</t>
  </si>
  <si>
    <t>90,591,100</t>
  </si>
  <si>
    <t>1.27%</t>
  </si>
  <si>
    <t>90,278,720</t>
  </si>
  <si>
    <t>89,191,617</t>
  </si>
  <si>
    <t>1.28%</t>
  </si>
  <si>
    <t>88,965,732</t>
  </si>
  <si>
    <t>1.29%</t>
  </si>
  <si>
    <t>88,308,754</t>
  </si>
  <si>
    <t>87,148,881</t>
  </si>
  <si>
    <t>85,856,766</t>
  </si>
  <si>
    <t>84,481,883</t>
  </si>
  <si>
    <t>83,592,360</t>
  </si>
  <si>
    <t>83,016,138</t>
  </si>
  <si>
    <t>1.3%</t>
  </si>
  <si>
    <t>82,631,292</t>
  </si>
  <si>
    <t>1.32%</t>
  </si>
  <si>
    <t>82,793,883</t>
  </si>
  <si>
    <t>1.35%</t>
  </si>
  <si>
    <t>83,233,466</t>
  </si>
  <si>
    <t>1.36%</t>
  </si>
  <si>
    <t>82,696,654</t>
  </si>
  <si>
    <t>81,939,649</t>
  </si>
  <si>
    <t>1.39%</t>
  </si>
  <si>
    <t>82,278,874</t>
  </si>
  <si>
    <t>1.42%</t>
  </si>
  <si>
    <t>82,732,082</t>
  </si>
  <si>
    <t>1.44%</t>
  </si>
  <si>
    <t>83,176,752</t>
  </si>
  <si>
    <t>1.47%</t>
  </si>
  <si>
    <t>83,327,727</t>
  </si>
  <si>
    <t>1.5%</t>
  </si>
  <si>
    <t>84,006,458</t>
  </si>
  <si>
    <t>1.55%</t>
  </si>
  <si>
    <t>85,554,981</t>
  </si>
  <si>
    <t>1.61%</t>
  </si>
  <si>
    <t>87,253,925</t>
  </si>
  <si>
    <t>1.71%</t>
  </si>
  <si>
    <t>90,932,781</t>
  </si>
  <si>
    <t>1.78%</t>
  </si>
  <si>
    <t>93,371,378</t>
  </si>
  <si>
    <t>1.8%</t>
  </si>
  <si>
    <t>92,439,190</t>
  </si>
  <si>
    <t>1.83%</t>
  </si>
  <si>
    <t>92,246,145</t>
  </si>
  <si>
    <t>1.85%</t>
  </si>
  <si>
    <t>91,673,559</t>
  </si>
  <si>
    <t>89,129,373</t>
  </si>
  <si>
    <t>1.81%</t>
  </si>
  <si>
    <t>86,767,946</t>
  </si>
  <si>
    <t>84,847,946</t>
  </si>
  <si>
    <t>1.84%</t>
  </si>
  <si>
    <t>84,654,152</t>
  </si>
  <si>
    <t>83,896,115</t>
  </si>
  <si>
    <t>81,171,070</t>
  </si>
  <si>
    <t>79,066,708</t>
  </si>
  <si>
    <t>76,442,026</t>
  </si>
  <si>
    <t>1.76%</t>
  </si>
  <si>
    <t>74,233,706</t>
  </si>
  <si>
    <t>73,617,419</t>
  </si>
  <si>
    <t>73,511,100</t>
  </si>
  <si>
    <t>1.86%</t>
  </si>
  <si>
    <t>74,319,181</t>
  </si>
  <si>
    <t>1.93%</t>
  </si>
  <si>
    <t>75,611,054</t>
  </si>
  <si>
    <t>1.97%</t>
  </si>
  <si>
    <t>75,887,362</t>
  </si>
  <si>
    <t>1.99%</t>
  </si>
  <si>
    <t>75,069,815</t>
  </si>
  <si>
    <t>2.03%</t>
  </si>
  <si>
    <t>75,164,071</t>
  </si>
  <si>
    <t>2.08%</t>
  </si>
  <si>
    <t>75,192,215</t>
  </si>
  <si>
    <t>2.1%</t>
  </si>
  <si>
    <t>74,304,328</t>
  </si>
  <si>
    <t>2.07%</t>
  </si>
  <si>
    <t>71,774,371</t>
  </si>
  <si>
    <t>2.04%</t>
  </si>
  <si>
    <t>69,371,755</t>
  </si>
  <si>
    <t>69,507,422</t>
  </si>
  <si>
    <t>2.15%</t>
  </si>
  <si>
    <t>70,046,364</t>
  </si>
  <si>
    <t>2.25%</t>
  </si>
  <si>
    <t>71,679,511</t>
  </si>
  <si>
    <t>2.22%</t>
  </si>
  <si>
    <t>69,433,513</t>
  </si>
  <si>
    <t>1.91%</t>
  </si>
  <si>
    <t>58,504,640</t>
  </si>
  <si>
    <t>1.64%</t>
  </si>
  <si>
    <t>49,398,781</t>
  </si>
  <si>
    <t>1.67%</t>
  </si>
  <si>
    <t>49,520,543</t>
  </si>
  <si>
    <t>1.88%</t>
  </si>
  <si>
    <t>54,700,680</t>
  </si>
  <si>
    <t>2.06%</t>
  </si>
  <si>
    <t>58,631,334</t>
  </si>
  <si>
    <t>2.05%</t>
  </si>
  <si>
    <t>57,208,343</t>
  </si>
  <si>
    <t>2.01%</t>
  </si>
  <si>
    <t>55,196,202</t>
  </si>
  <si>
    <t>2.02%</t>
  </si>
  <si>
    <t>54,318,932</t>
  </si>
  <si>
    <t>51,788,625</t>
  </si>
  <si>
    <t>1.94%</t>
  </si>
  <si>
    <t>50,019,896</t>
  </si>
  <si>
    <t>47,159,304</t>
  </si>
  <si>
    <t>43,834,187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</si>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</sst>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/>
    <xf numFmtId="165" fontId="0" fillId="0" borderId="1" xfId="0" applyNumberFormat="1" applyBorder="1"/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XCEL\SALES%20PLAN%20DATA%20(PROJECT%206)%20.xlsx" TargetMode="External"/><Relationship Id="rId1" Type="http://schemas.openxmlformats.org/officeDocument/2006/relationships/externalLinkPath" Target="SALES%20PLAN%20DATA%20(PROJECT%206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(Orders)"/>
      <sheetName val="Sales Plan"/>
      <sheetName val="Dashboard"/>
      <sheetName val="Reference "/>
      <sheetName val="Chart Data"/>
    </sheetNames>
    <sheetDataSet>
      <sheetData sheetId="0"/>
      <sheetData sheetId="1"/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346A2E-853B-4EB7-9EAB-A30014883D2D}" autoFormatId="16" applyNumberFormats="0" applyBorderFormats="0" applyFontFormats="0" applyPatternFormats="0" applyAlignmentFormats="0" applyWidthHeightFormats="0">
  <queryTableRefresh nextId="12">
    <queryTableFields count="11">
      <queryTableField id="1" name="Segment" tableColumnId="1"/>
      <queryTableField id="2" name="City" tableColumnId="2"/>
      <queryTableField id="3" name="State" tableColumnId="3"/>
      <queryTableField id="4" name="Region" tableColumnId="4"/>
      <queryTableField id="5" name="Category" tableColumnId="5"/>
      <queryTableField id="6" name="Sub-Category" tableColumnId="6"/>
      <queryTableField id="7" name="Sales" tableColumnId="7"/>
      <queryTableField id="8" name="Quarters(ROUNDUP)" tableColumnId="8"/>
      <queryTableField id="9" name="Quantity" tableColumnId="9"/>
      <queryTableField id="10" name="Date" tableColumnId="10"/>
      <queryTableField id="11" name="Onlin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A6F46-CB00-481E-9141-546B968C8F2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Population" tableColumnId="2"/>
      <queryTableField id="3" name="Yearly % Change" tableColumnId="3"/>
      <queryTableField id="4" name="Net Change" tableColumnId="4"/>
      <queryTableField id="5" name="Density (P/Km²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196419-4EAB-48AC-A2F9-FBAA7C186194}" name="Table1_1" displayName="Table1_1" ref="A1:K59" tableType="queryTable" totalsRowShown="0">
  <autoFilter ref="A1:K59" xr:uid="{B7196419-4EAB-48AC-A2F9-FBAA7C186194}"/>
  <tableColumns count="11">
    <tableColumn id="1" xr3:uid="{165DF9F2-2716-4308-9ABD-533D514C5800}" uniqueName="1" name="Segment" queryTableFieldId="1" dataDxfId="10"/>
    <tableColumn id="2" xr3:uid="{9E180D3F-067F-474B-9EBC-CD0E2077DFE7}" uniqueName="2" name="City" queryTableFieldId="2" dataDxfId="9"/>
    <tableColumn id="3" xr3:uid="{4613531A-3632-42E2-8859-676A2AE3FD3D}" uniqueName="3" name="State" queryTableFieldId="3" dataDxfId="8"/>
    <tableColumn id="4" xr3:uid="{7075471A-603B-4031-A267-709DA8DB2B70}" uniqueName="4" name="Region" queryTableFieldId="4" dataDxfId="7"/>
    <tableColumn id="5" xr3:uid="{390ED6D2-53DE-4353-B51C-41B81C9E84AD}" uniqueName="5" name="Category" queryTableFieldId="5" dataDxfId="6"/>
    <tableColumn id="6" xr3:uid="{A0634241-F2A7-4978-A680-04576A128941}" uniqueName="6" name="Sub-Category" queryTableFieldId="6" dataDxfId="5"/>
    <tableColumn id="7" xr3:uid="{763B90A0-4643-43F4-BB8B-AF1E0101E4A7}" uniqueName="7" name="Sales" queryTableFieldId="7"/>
    <tableColumn id="8" xr3:uid="{E8F8D5CD-E64E-470F-8E2D-18938A4E3E6D}" uniqueName="8" name="Quarters(ROUNDUP)" queryTableFieldId="8" dataDxfId="4"/>
    <tableColumn id="9" xr3:uid="{349A83EA-BCE1-4532-93B7-B3E0CE33E229}" uniqueName="9" name="Quantity" queryTableFieldId="9"/>
    <tableColumn id="10" xr3:uid="{8B371919-1AC5-493D-BA8E-ED427851365B}" uniqueName="10" name="Date" queryTableFieldId="10" dataDxfId="3"/>
    <tableColumn id="11" xr3:uid="{D5BA5975-5686-423E-8A13-081E78DC4724}" uniqueName="11" name="Online" queryTableFieldId="1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35625-1CF7-47E9-B7DE-CA19E2FFD4AD}" name="Popullation_Data_2025" displayName="Popullation_Data_2025" ref="A1:E95" tableType="queryTable" totalsRowShown="0">
  <autoFilter ref="A1:E95" xr:uid="{8D535625-1CF7-47E9-B7DE-CA19E2FFD4AD}"/>
  <tableColumns count="5">
    <tableColumn id="1" xr3:uid="{5FB34314-C637-469A-B27D-1A361AF9E314}" uniqueName="1" name="Year" queryTableFieldId="1"/>
    <tableColumn id="2" xr3:uid="{63D6BAE8-BAFA-47B2-80B4-DF446F0717B5}" uniqueName="2" name="Population" queryTableFieldId="2"/>
    <tableColumn id="3" xr3:uid="{D0290B28-4F7D-4443-A669-354CA3A6B2C8}" uniqueName="3" name="Yearly % Change" queryTableFieldId="3" dataDxfId="1"/>
    <tableColumn id="4" xr3:uid="{CDF2AD7A-E069-4A50-9973-951A3CE0E047}" uniqueName="4" name="Net Change" queryTableFieldId="4" dataDxfId="0"/>
    <tableColumn id="5" xr3:uid="{5C8CC9C5-073D-4047-A869-FD9CA5B9AC2A}" uniqueName="5" name="Density (P/Km²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62AE6-18C8-4846-9480-95F3C3E9F026}" name="Table1" displayName="Table1" ref="A1:K67" totalsRowShown="0" headerRowDxfId="11" dataDxfId="12" tableBorderDxfId="24">
  <autoFilter ref="A1:K67" xr:uid="{C0962AE6-18C8-4846-9480-95F3C3E9F026}"/>
  <tableColumns count="11">
    <tableColumn id="1" xr3:uid="{C25FC6B2-3190-421C-BA4D-2F99CC3E8B1C}" name="Segment" dataDxfId="23"/>
    <tableColumn id="2" xr3:uid="{C273ECFA-8B85-4919-963A-53CAAFCFEF2F}" name="City" dataDxfId="22"/>
    <tableColumn id="3" xr3:uid="{ACA0C3A9-1CA3-47F3-9A2E-7E716C8EA209}" name="State" dataDxfId="21"/>
    <tableColumn id="4" xr3:uid="{E790E643-E3B1-4383-8082-F3D34847F1B1}" name="Region" dataDxfId="20"/>
    <tableColumn id="5" xr3:uid="{FADF78AB-B4C8-4017-8B7E-D03C916FA3AF}" name="Category" dataDxfId="19"/>
    <tableColumn id="6" xr3:uid="{000B6FCA-9DBE-4D6C-B4C9-8CC9BC8871C7}" name="Sub-Category" dataDxfId="18"/>
    <tableColumn id="7" xr3:uid="{A31CEC78-D3F7-4A5D-BAE2-AC60D571F01D}" name="Sales" dataDxfId="17"/>
    <tableColumn id="8" xr3:uid="{B092937B-FBF1-4B60-9791-86BF9F4E59E2}" name="Quarters(ROUNDUP)" dataDxfId="16">
      <calculatedColumnFormula>[1]!Table2[[#This Row],[Quarters(ROUNDUP)]]</calculatedColumnFormula>
    </tableColumn>
    <tableColumn id="9" xr3:uid="{5570B1E8-B78F-4904-81F5-686B4989CC40}" name="Quantity" dataDxfId="15"/>
    <tableColumn id="10" xr3:uid="{7665294E-00CB-4DFE-ACEA-30CAE0429FAD}" name="Date" dataDxfId="14"/>
    <tableColumn id="11" xr3:uid="{2CD862A1-0DEF-4D02-BDD0-AEF2E501780C}" name="Onlin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01C2-12AF-482D-A17C-6B10DEDC0533}">
  <dimension ref="A1:K59"/>
  <sheetViews>
    <sheetView topLeftCell="A36" workbookViewId="0">
      <selection activeCell="E60" sqref="E60"/>
    </sheetView>
  </sheetViews>
  <sheetFormatPr defaultRowHeight="14.4" x14ac:dyDescent="0.3"/>
  <cols>
    <col min="1" max="1" width="11.3320312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3.109375" bestFit="1" customWidth="1"/>
    <col min="6" max="6" width="14.6640625" bestFit="1" customWidth="1"/>
    <col min="7" max="7" width="8" bestFit="1" customWidth="1"/>
    <col min="8" max="8" width="20.77734375" bestFit="1" customWidth="1"/>
    <col min="9" max="9" width="10.5546875" bestFit="1" customWidth="1"/>
    <col min="10" max="10" width="10.33203125" bestFit="1" customWidth="1"/>
    <col min="11" max="11" width="8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  <c r="I1" t="s">
        <v>7</v>
      </c>
      <c r="J1" t="s">
        <v>67</v>
      </c>
      <c r="K1" t="s">
        <v>68</v>
      </c>
    </row>
    <row r="2" spans="1:11" x14ac:dyDescent="0.3">
      <c r="A2" s="14" t="s">
        <v>8</v>
      </c>
      <c r="B2" s="14" t="s">
        <v>55</v>
      </c>
      <c r="C2" s="14" t="s">
        <v>29</v>
      </c>
      <c r="D2" s="14" t="s">
        <v>30</v>
      </c>
      <c r="E2" s="14" t="s">
        <v>35</v>
      </c>
      <c r="F2" s="14" t="s">
        <v>41</v>
      </c>
      <c r="G2">
        <v>179.94</v>
      </c>
      <c r="H2" s="14" t="s">
        <v>70</v>
      </c>
      <c r="I2">
        <v>5</v>
      </c>
      <c r="J2" s="14" t="s">
        <v>71</v>
      </c>
      <c r="K2" s="14" t="s">
        <v>72</v>
      </c>
    </row>
    <row r="3" spans="1:11" x14ac:dyDescent="0.3">
      <c r="A3" s="14" t="s">
        <v>8</v>
      </c>
      <c r="B3" s="14" t="s">
        <v>20</v>
      </c>
      <c r="C3" s="14" t="s">
        <v>21</v>
      </c>
      <c r="D3" s="14" t="s">
        <v>22</v>
      </c>
      <c r="E3" s="14" t="s">
        <v>33</v>
      </c>
      <c r="F3" s="14" t="s">
        <v>39</v>
      </c>
      <c r="G3">
        <v>152.52000000000001</v>
      </c>
      <c r="H3" s="14" t="s">
        <v>73</v>
      </c>
      <c r="I3">
        <v>6</v>
      </c>
      <c r="J3" s="14" t="s">
        <v>71</v>
      </c>
      <c r="K3" s="14" t="s">
        <v>74</v>
      </c>
    </row>
    <row r="4" spans="1:11" x14ac:dyDescent="0.3">
      <c r="A4" s="14" t="s">
        <v>8</v>
      </c>
      <c r="B4" s="14" t="s">
        <v>20</v>
      </c>
      <c r="C4" s="14" t="s">
        <v>21</v>
      </c>
      <c r="D4" s="14" t="s">
        <v>22</v>
      </c>
      <c r="E4" s="14" t="s">
        <v>35</v>
      </c>
      <c r="F4" s="14" t="s">
        <v>36</v>
      </c>
      <c r="G4">
        <v>149.04</v>
      </c>
      <c r="H4" s="14" t="s">
        <v>73</v>
      </c>
      <c r="I4">
        <v>3</v>
      </c>
      <c r="J4" s="14" t="s">
        <v>71</v>
      </c>
      <c r="K4" s="14" t="s">
        <v>72</v>
      </c>
    </row>
    <row r="5" spans="1:11" x14ac:dyDescent="0.3">
      <c r="A5" s="14" t="s">
        <v>8</v>
      </c>
      <c r="B5" s="14" t="s">
        <v>20</v>
      </c>
      <c r="C5" s="14" t="s">
        <v>21</v>
      </c>
      <c r="D5" s="14" t="s">
        <v>22</v>
      </c>
      <c r="E5" s="14" t="s">
        <v>12</v>
      </c>
      <c r="F5" s="14" t="s">
        <v>19</v>
      </c>
      <c r="G5">
        <v>22.31</v>
      </c>
      <c r="H5" s="14" t="s">
        <v>73</v>
      </c>
      <c r="I5">
        <v>2</v>
      </c>
      <c r="J5" s="14" t="s">
        <v>71</v>
      </c>
      <c r="K5" s="14" t="s">
        <v>72</v>
      </c>
    </row>
    <row r="6" spans="1:11" x14ac:dyDescent="0.3">
      <c r="A6" s="14" t="s">
        <v>8</v>
      </c>
      <c r="B6" s="14" t="s">
        <v>20</v>
      </c>
      <c r="C6" s="14" t="s">
        <v>21</v>
      </c>
      <c r="D6" s="14" t="s">
        <v>22</v>
      </c>
      <c r="E6" s="14" t="s">
        <v>12</v>
      </c>
      <c r="F6" s="14" t="s">
        <v>17</v>
      </c>
      <c r="G6">
        <v>36.090000000000003</v>
      </c>
      <c r="H6" s="14" t="s">
        <v>73</v>
      </c>
      <c r="I6">
        <v>3</v>
      </c>
      <c r="J6" s="14" t="s">
        <v>71</v>
      </c>
      <c r="K6" s="14" t="s">
        <v>72</v>
      </c>
    </row>
    <row r="7" spans="1:11" x14ac:dyDescent="0.3">
      <c r="A7" s="14" t="s">
        <v>27</v>
      </c>
      <c r="B7" s="14" t="s">
        <v>42</v>
      </c>
      <c r="C7" s="14" t="s">
        <v>56</v>
      </c>
      <c r="D7" s="14" t="s">
        <v>26</v>
      </c>
      <c r="E7" s="14" t="s">
        <v>12</v>
      </c>
      <c r="F7" s="14" t="s">
        <v>57</v>
      </c>
      <c r="G7">
        <v>77.84</v>
      </c>
      <c r="H7" s="14" t="s">
        <v>73</v>
      </c>
      <c r="I7">
        <v>4</v>
      </c>
      <c r="J7" s="14" t="s">
        <v>71</v>
      </c>
      <c r="K7" s="14" t="s">
        <v>72</v>
      </c>
    </row>
    <row r="8" spans="1:11" x14ac:dyDescent="0.3">
      <c r="A8" s="14" t="s">
        <v>8</v>
      </c>
      <c r="B8" s="14" t="s">
        <v>58</v>
      </c>
      <c r="C8" s="14" t="s">
        <v>59</v>
      </c>
      <c r="D8" s="14" t="s">
        <v>26</v>
      </c>
      <c r="E8" s="14" t="s">
        <v>12</v>
      </c>
      <c r="F8" s="14" t="s">
        <v>19</v>
      </c>
      <c r="G8">
        <v>38.81</v>
      </c>
      <c r="H8" s="14" t="s">
        <v>73</v>
      </c>
      <c r="I8">
        <v>10</v>
      </c>
      <c r="J8" s="14" t="s">
        <v>71</v>
      </c>
      <c r="K8" s="14" t="s">
        <v>72</v>
      </c>
    </row>
    <row r="9" spans="1:11" x14ac:dyDescent="0.3">
      <c r="A9" s="14" t="s">
        <v>8</v>
      </c>
      <c r="B9" s="14" t="s">
        <v>58</v>
      </c>
      <c r="C9" s="14" t="s">
        <v>59</v>
      </c>
      <c r="D9" s="14" t="s">
        <v>26</v>
      </c>
      <c r="E9" s="14" t="s">
        <v>12</v>
      </c>
      <c r="F9" s="14" t="s">
        <v>13</v>
      </c>
      <c r="G9">
        <v>67.28</v>
      </c>
      <c r="H9" s="14" t="s">
        <v>73</v>
      </c>
      <c r="I9">
        <v>4</v>
      </c>
      <c r="J9" s="14" t="s">
        <v>71</v>
      </c>
      <c r="K9" s="14" t="s">
        <v>72</v>
      </c>
    </row>
    <row r="10" spans="1:11" x14ac:dyDescent="0.3">
      <c r="A10" s="14" t="s">
        <v>8</v>
      </c>
      <c r="B10" s="14" t="s">
        <v>58</v>
      </c>
      <c r="C10" s="14" t="s">
        <v>59</v>
      </c>
      <c r="D10" s="14" t="s">
        <v>26</v>
      </c>
      <c r="E10" s="14" t="s">
        <v>12</v>
      </c>
      <c r="F10" s="14" t="s">
        <v>48</v>
      </c>
      <c r="G10">
        <v>130.46</v>
      </c>
      <c r="H10" s="14" t="s">
        <v>73</v>
      </c>
      <c r="I10">
        <v>5</v>
      </c>
      <c r="J10" s="14" t="s">
        <v>71</v>
      </c>
      <c r="K10" s="14" t="s">
        <v>72</v>
      </c>
    </row>
    <row r="11" spans="1:11" x14ac:dyDescent="0.3">
      <c r="A11" s="14" t="s">
        <v>8</v>
      </c>
      <c r="B11" s="14" t="s">
        <v>58</v>
      </c>
      <c r="C11" s="14" t="s">
        <v>59</v>
      </c>
      <c r="D11" s="14" t="s">
        <v>26</v>
      </c>
      <c r="E11" s="14" t="s">
        <v>33</v>
      </c>
      <c r="F11" s="14" t="s">
        <v>52</v>
      </c>
      <c r="G11">
        <v>217.76</v>
      </c>
      <c r="H11" s="14" t="s">
        <v>73</v>
      </c>
      <c r="I11">
        <v>5</v>
      </c>
      <c r="J11" s="14" t="s">
        <v>71</v>
      </c>
      <c r="K11" s="14" t="s">
        <v>72</v>
      </c>
    </row>
    <row r="12" spans="1:11" x14ac:dyDescent="0.3">
      <c r="A12" s="14" t="s">
        <v>8</v>
      </c>
      <c r="B12" s="14" t="s">
        <v>60</v>
      </c>
      <c r="C12" s="14" t="s">
        <v>61</v>
      </c>
      <c r="D12" s="14" t="s">
        <v>30</v>
      </c>
      <c r="E12" s="14" t="s">
        <v>35</v>
      </c>
      <c r="F12" s="14" t="s">
        <v>36</v>
      </c>
      <c r="G12">
        <v>839.92</v>
      </c>
      <c r="H12" s="14" t="s">
        <v>73</v>
      </c>
      <c r="I12">
        <v>7</v>
      </c>
      <c r="J12" s="14" t="s">
        <v>71</v>
      </c>
      <c r="K12" s="14" t="s">
        <v>72</v>
      </c>
    </row>
    <row r="13" spans="1:11" x14ac:dyDescent="0.3">
      <c r="A13" s="14" t="s">
        <v>8</v>
      </c>
      <c r="B13" s="14" t="s">
        <v>60</v>
      </c>
      <c r="C13" s="14" t="s">
        <v>61</v>
      </c>
      <c r="D13" s="14" t="s">
        <v>30</v>
      </c>
      <c r="E13" s="14" t="s">
        <v>12</v>
      </c>
      <c r="F13" s="14" t="s">
        <v>23</v>
      </c>
      <c r="G13">
        <v>27.55</v>
      </c>
      <c r="H13" s="14" t="s">
        <v>73</v>
      </c>
      <c r="I13">
        <v>7</v>
      </c>
      <c r="J13" s="14" t="s">
        <v>71</v>
      </c>
      <c r="K13" s="14" t="s">
        <v>72</v>
      </c>
    </row>
    <row r="14" spans="1:11" x14ac:dyDescent="0.3">
      <c r="A14" s="14" t="s">
        <v>8</v>
      </c>
      <c r="B14" s="14" t="s">
        <v>60</v>
      </c>
      <c r="C14" s="14" t="s">
        <v>61</v>
      </c>
      <c r="D14" s="14" t="s">
        <v>30</v>
      </c>
      <c r="E14" s="14" t="s">
        <v>33</v>
      </c>
      <c r="F14" s="14" t="s">
        <v>39</v>
      </c>
      <c r="G14">
        <v>46.32</v>
      </c>
      <c r="H14" s="14" t="s">
        <v>73</v>
      </c>
      <c r="I14">
        <v>4</v>
      </c>
      <c r="J14" s="14" t="s">
        <v>71</v>
      </c>
      <c r="K14" s="14" t="s">
        <v>72</v>
      </c>
    </row>
    <row r="15" spans="1:11" x14ac:dyDescent="0.3">
      <c r="A15" s="14" t="s">
        <v>8</v>
      </c>
      <c r="B15" s="14" t="s">
        <v>60</v>
      </c>
      <c r="C15" s="14" t="s">
        <v>61</v>
      </c>
      <c r="D15" s="14" t="s">
        <v>30</v>
      </c>
      <c r="E15" s="14" t="s">
        <v>12</v>
      </c>
      <c r="F15" s="14" t="s">
        <v>23</v>
      </c>
      <c r="G15">
        <v>7.96</v>
      </c>
      <c r="H15" s="14" t="s">
        <v>73</v>
      </c>
      <c r="I15">
        <v>3</v>
      </c>
      <c r="J15" s="14" t="s">
        <v>71</v>
      </c>
      <c r="K15" s="14" t="s">
        <v>72</v>
      </c>
    </row>
    <row r="16" spans="1:11" x14ac:dyDescent="0.3">
      <c r="A16" s="14" t="s">
        <v>8</v>
      </c>
      <c r="B16" s="14" t="s">
        <v>60</v>
      </c>
      <c r="C16" s="14" t="s">
        <v>61</v>
      </c>
      <c r="D16" s="14" t="s">
        <v>30</v>
      </c>
      <c r="E16" s="14" t="s">
        <v>12</v>
      </c>
      <c r="F16" s="14" t="s">
        <v>48</v>
      </c>
      <c r="G16">
        <v>28.01</v>
      </c>
      <c r="H16" s="14" t="s">
        <v>73</v>
      </c>
      <c r="I16">
        <v>3</v>
      </c>
      <c r="J16" s="14" t="s">
        <v>71</v>
      </c>
      <c r="K16" s="14" t="s">
        <v>72</v>
      </c>
    </row>
    <row r="17" spans="1:11" x14ac:dyDescent="0.3">
      <c r="A17" s="14" t="s">
        <v>8</v>
      </c>
      <c r="B17" s="14" t="s">
        <v>60</v>
      </c>
      <c r="C17" s="14" t="s">
        <v>61</v>
      </c>
      <c r="D17" s="14" t="s">
        <v>30</v>
      </c>
      <c r="E17" s="14" t="s">
        <v>33</v>
      </c>
      <c r="F17" s="14" t="s">
        <v>34</v>
      </c>
      <c r="G17">
        <v>1281.53</v>
      </c>
      <c r="H17" s="14" t="s">
        <v>73</v>
      </c>
      <c r="I17">
        <v>3</v>
      </c>
      <c r="J17" s="14" t="s">
        <v>71</v>
      </c>
      <c r="K17" s="14" t="s">
        <v>72</v>
      </c>
    </row>
    <row r="18" spans="1:11" x14ac:dyDescent="0.3">
      <c r="A18" s="14" t="s">
        <v>8</v>
      </c>
      <c r="B18" s="14" t="s">
        <v>24</v>
      </c>
      <c r="C18" s="14" t="s">
        <v>25</v>
      </c>
      <c r="D18" s="14" t="s">
        <v>26</v>
      </c>
      <c r="E18" s="14" t="s">
        <v>12</v>
      </c>
      <c r="F18" s="14" t="s">
        <v>13</v>
      </c>
      <c r="G18">
        <v>23.23</v>
      </c>
      <c r="H18" s="14" t="s">
        <v>73</v>
      </c>
      <c r="I18">
        <v>2</v>
      </c>
      <c r="J18" s="14" t="s">
        <v>71</v>
      </c>
      <c r="K18" s="14" t="s">
        <v>72</v>
      </c>
    </row>
    <row r="19" spans="1:11" x14ac:dyDescent="0.3">
      <c r="A19" s="14" t="s">
        <v>8</v>
      </c>
      <c r="B19" s="14" t="s">
        <v>24</v>
      </c>
      <c r="C19" s="14" t="s">
        <v>25</v>
      </c>
      <c r="D19" s="14" t="s">
        <v>26</v>
      </c>
      <c r="E19" s="14" t="s">
        <v>33</v>
      </c>
      <c r="F19" s="14" t="s">
        <v>39</v>
      </c>
      <c r="G19">
        <v>23.16</v>
      </c>
      <c r="H19" s="14" t="s">
        <v>73</v>
      </c>
      <c r="I19">
        <v>2</v>
      </c>
      <c r="J19" s="14" t="s">
        <v>71</v>
      </c>
      <c r="K19" s="14" t="s">
        <v>72</v>
      </c>
    </row>
    <row r="20" spans="1:11" x14ac:dyDescent="0.3">
      <c r="A20" s="14" t="s">
        <v>8</v>
      </c>
      <c r="B20" s="14" t="s">
        <v>62</v>
      </c>
      <c r="C20" s="14" t="s">
        <v>63</v>
      </c>
      <c r="D20" s="14" t="s">
        <v>11</v>
      </c>
      <c r="E20" s="14" t="s">
        <v>12</v>
      </c>
      <c r="F20" s="14" t="s">
        <v>18</v>
      </c>
      <c r="G20">
        <v>16.78</v>
      </c>
      <c r="H20" s="14" t="s">
        <v>73</v>
      </c>
      <c r="I20">
        <v>1</v>
      </c>
      <c r="J20" s="14" t="s">
        <v>71</v>
      </c>
      <c r="K20" s="14" t="s">
        <v>72</v>
      </c>
    </row>
    <row r="21" spans="1:11" x14ac:dyDescent="0.3">
      <c r="A21" s="14" t="s">
        <v>8</v>
      </c>
      <c r="B21" s="14" t="s">
        <v>62</v>
      </c>
      <c r="C21" s="14" t="s">
        <v>63</v>
      </c>
      <c r="D21" s="14" t="s">
        <v>11</v>
      </c>
      <c r="E21" s="14" t="s">
        <v>33</v>
      </c>
      <c r="F21" s="14" t="s">
        <v>39</v>
      </c>
      <c r="G21">
        <v>327.52999999999997</v>
      </c>
      <c r="H21" s="14" t="s">
        <v>73</v>
      </c>
      <c r="I21">
        <v>3</v>
      </c>
      <c r="J21" s="14" t="s">
        <v>71</v>
      </c>
      <c r="K21" s="14" t="s">
        <v>72</v>
      </c>
    </row>
    <row r="22" spans="1:11" x14ac:dyDescent="0.3">
      <c r="A22" s="14" t="s">
        <v>8</v>
      </c>
      <c r="B22" s="14" t="s">
        <v>62</v>
      </c>
      <c r="C22" s="14" t="s">
        <v>63</v>
      </c>
      <c r="D22" s="14" t="s">
        <v>11</v>
      </c>
      <c r="E22" s="14" t="s">
        <v>12</v>
      </c>
      <c r="F22" s="14" t="s">
        <v>19</v>
      </c>
      <c r="G22">
        <v>22.86</v>
      </c>
      <c r="H22" s="14" t="s">
        <v>73</v>
      </c>
      <c r="I22">
        <v>5</v>
      </c>
      <c r="J22" s="14" t="s">
        <v>71</v>
      </c>
      <c r="K22" s="14" t="s">
        <v>72</v>
      </c>
    </row>
    <row r="23" spans="1:11" x14ac:dyDescent="0.3">
      <c r="A23" s="14" t="s">
        <v>8</v>
      </c>
      <c r="B23" s="14" t="s">
        <v>62</v>
      </c>
      <c r="C23" s="14" t="s">
        <v>63</v>
      </c>
      <c r="D23" s="14" t="s">
        <v>11</v>
      </c>
      <c r="E23" s="14" t="s">
        <v>12</v>
      </c>
      <c r="F23" s="14" t="s">
        <v>57</v>
      </c>
      <c r="G23">
        <v>297.26</v>
      </c>
      <c r="H23" s="14" t="s">
        <v>73</v>
      </c>
      <c r="I23">
        <v>4</v>
      </c>
      <c r="J23" s="14" t="s">
        <v>71</v>
      </c>
      <c r="K23" s="14" t="s">
        <v>72</v>
      </c>
    </row>
    <row r="24" spans="1:11" x14ac:dyDescent="0.3">
      <c r="A24" s="14" t="s">
        <v>8</v>
      </c>
      <c r="B24" s="14" t="s">
        <v>44</v>
      </c>
      <c r="C24" s="14" t="s">
        <v>45</v>
      </c>
      <c r="D24" s="14" t="s">
        <v>22</v>
      </c>
      <c r="E24" s="14" t="s">
        <v>33</v>
      </c>
      <c r="F24" s="14" t="s">
        <v>39</v>
      </c>
      <c r="G24">
        <v>11.93</v>
      </c>
      <c r="H24" s="14" t="s">
        <v>73</v>
      </c>
      <c r="I24">
        <v>2</v>
      </c>
      <c r="J24" s="14" t="s">
        <v>75</v>
      </c>
      <c r="K24" s="14" t="s">
        <v>72</v>
      </c>
    </row>
    <row r="25" spans="1:11" x14ac:dyDescent="0.3">
      <c r="A25" s="14" t="s">
        <v>27</v>
      </c>
      <c r="B25" s="14" t="s">
        <v>46</v>
      </c>
      <c r="C25" s="14" t="s">
        <v>47</v>
      </c>
      <c r="D25" s="14" t="s">
        <v>30</v>
      </c>
      <c r="E25" s="14" t="s">
        <v>12</v>
      </c>
      <c r="F25" s="14" t="s">
        <v>48</v>
      </c>
      <c r="G25">
        <v>13.63</v>
      </c>
      <c r="H25" s="14" t="s">
        <v>73</v>
      </c>
      <c r="I25">
        <v>2</v>
      </c>
      <c r="J25" s="14" t="s">
        <v>75</v>
      </c>
      <c r="K25" s="14" t="s">
        <v>72</v>
      </c>
    </row>
    <row r="26" spans="1:11" x14ac:dyDescent="0.3">
      <c r="A26" s="14" t="s">
        <v>27</v>
      </c>
      <c r="B26" s="14" t="s">
        <v>46</v>
      </c>
      <c r="C26" s="14" t="s">
        <v>47</v>
      </c>
      <c r="D26" s="14" t="s">
        <v>30</v>
      </c>
      <c r="E26" s="14" t="s">
        <v>12</v>
      </c>
      <c r="F26" s="14" t="s">
        <v>48</v>
      </c>
      <c r="G26">
        <v>61.13</v>
      </c>
      <c r="H26" s="14" t="s">
        <v>73</v>
      </c>
      <c r="I26">
        <v>3</v>
      </c>
      <c r="J26" s="14" t="s">
        <v>75</v>
      </c>
      <c r="K26" s="14" t="s">
        <v>72</v>
      </c>
    </row>
    <row r="27" spans="1:11" x14ac:dyDescent="0.3">
      <c r="A27" s="14" t="s">
        <v>27</v>
      </c>
      <c r="B27" s="14" t="s">
        <v>46</v>
      </c>
      <c r="C27" s="14" t="s">
        <v>47</v>
      </c>
      <c r="D27" s="14" t="s">
        <v>30</v>
      </c>
      <c r="E27" s="14" t="s">
        <v>35</v>
      </c>
      <c r="F27" s="14" t="s">
        <v>41</v>
      </c>
      <c r="G27">
        <v>776.09</v>
      </c>
      <c r="H27" s="14" t="s">
        <v>73</v>
      </c>
      <c r="I27">
        <v>6</v>
      </c>
      <c r="J27" s="14" t="s">
        <v>75</v>
      </c>
      <c r="K27" s="14" t="s">
        <v>72</v>
      </c>
    </row>
    <row r="28" spans="1:11" x14ac:dyDescent="0.3">
      <c r="A28" s="14" t="s">
        <v>27</v>
      </c>
      <c r="B28" s="14" t="s">
        <v>46</v>
      </c>
      <c r="C28" s="14" t="s">
        <v>47</v>
      </c>
      <c r="D28" s="14" t="s">
        <v>30</v>
      </c>
      <c r="E28" s="14" t="s">
        <v>12</v>
      </c>
      <c r="F28" s="14" t="s">
        <v>19</v>
      </c>
      <c r="G28">
        <v>6.77</v>
      </c>
      <c r="H28" s="14" t="s">
        <v>73</v>
      </c>
      <c r="I28">
        <v>3</v>
      </c>
      <c r="J28" s="14" t="s">
        <v>75</v>
      </c>
      <c r="K28" s="14" t="s">
        <v>72</v>
      </c>
    </row>
    <row r="29" spans="1:11" x14ac:dyDescent="0.3">
      <c r="A29" s="14" t="s">
        <v>27</v>
      </c>
      <c r="B29" s="14" t="s">
        <v>46</v>
      </c>
      <c r="C29" s="14" t="s">
        <v>47</v>
      </c>
      <c r="D29" s="14" t="s">
        <v>30</v>
      </c>
      <c r="E29" s="14" t="s">
        <v>12</v>
      </c>
      <c r="F29" s="14" t="s">
        <v>18</v>
      </c>
      <c r="G29">
        <v>687.1</v>
      </c>
      <c r="H29" s="14" t="s">
        <v>73</v>
      </c>
      <c r="I29">
        <v>6</v>
      </c>
      <c r="J29" s="14" t="s">
        <v>75</v>
      </c>
      <c r="K29" s="14" t="s">
        <v>72</v>
      </c>
    </row>
    <row r="30" spans="1:11" x14ac:dyDescent="0.3">
      <c r="A30" s="14" t="s">
        <v>8</v>
      </c>
      <c r="B30" s="14" t="s">
        <v>49</v>
      </c>
      <c r="C30" s="14" t="s">
        <v>50</v>
      </c>
      <c r="D30" s="14" t="s">
        <v>30</v>
      </c>
      <c r="E30" s="14" t="s">
        <v>33</v>
      </c>
      <c r="F30" s="14" t="s">
        <v>34</v>
      </c>
      <c r="G30">
        <v>655.13</v>
      </c>
      <c r="H30" s="14" t="s">
        <v>73</v>
      </c>
      <c r="I30">
        <v>6</v>
      </c>
      <c r="J30" s="14" t="s">
        <v>75</v>
      </c>
      <c r="K30" s="14" t="s">
        <v>72</v>
      </c>
    </row>
    <row r="31" spans="1:11" x14ac:dyDescent="0.3">
      <c r="A31" s="14" t="s">
        <v>8</v>
      </c>
      <c r="B31" s="14" t="s">
        <v>51</v>
      </c>
      <c r="C31" s="14" t="s">
        <v>25</v>
      </c>
      <c r="D31" s="14" t="s">
        <v>26</v>
      </c>
      <c r="E31" s="14" t="s">
        <v>12</v>
      </c>
      <c r="F31" s="14" t="s">
        <v>18</v>
      </c>
      <c r="G31">
        <v>1591.02</v>
      </c>
      <c r="H31" s="14" t="s">
        <v>73</v>
      </c>
      <c r="I31">
        <v>5</v>
      </c>
      <c r="J31" s="14" t="s">
        <v>75</v>
      </c>
      <c r="K31" s="14" t="s">
        <v>72</v>
      </c>
    </row>
    <row r="32" spans="1:11" x14ac:dyDescent="0.3">
      <c r="A32" s="14" t="s">
        <v>8</v>
      </c>
      <c r="B32" s="14" t="s">
        <v>51</v>
      </c>
      <c r="C32" s="14" t="s">
        <v>25</v>
      </c>
      <c r="D32" s="14" t="s">
        <v>26</v>
      </c>
      <c r="E32" s="14" t="s">
        <v>33</v>
      </c>
      <c r="F32" s="14" t="s">
        <v>52</v>
      </c>
      <c r="G32">
        <v>400.8</v>
      </c>
      <c r="H32" s="14" t="s">
        <v>73</v>
      </c>
      <c r="I32">
        <v>3</v>
      </c>
      <c r="J32" s="14" t="s">
        <v>75</v>
      </c>
      <c r="K32" s="14" t="s">
        <v>72</v>
      </c>
    </row>
    <row r="33" spans="1:11" x14ac:dyDescent="0.3">
      <c r="A33" s="14" t="s">
        <v>8</v>
      </c>
      <c r="B33" s="14" t="s">
        <v>51</v>
      </c>
      <c r="C33" s="14" t="s">
        <v>25</v>
      </c>
      <c r="D33" s="14" t="s">
        <v>26</v>
      </c>
      <c r="E33" s="14" t="s">
        <v>12</v>
      </c>
      <c r="F33" s="14" t="s">
        <v>23</v>
      </c>
      <c r="G33">
        <v>23.88</v>
      </c>
      <c r="H33" s="14" t="s">
        <v>73</v>
      </c>
      <c r="I33">
        <v>5</v>
      </c>
      <c r="J33" s="14" t="s">
        <v>75</v>
      </c>
      <c r="K33" s="14" t="s">
        <v>72</v>
      </c>
    </row>
    <row r="34" spans="1:11" x14ac:dyDescent="0.3">
      <c r="A34" s="14" t="s">
        <v>8</v>
      </c>
      <c r="B34" s="14" t="s">
        <v>53</v>
      </c>
      <c r="C34" s="14" t="s">
        <v>54</v>
      </c>
      <c r="D34" s="14" t="s">
        <v>22</v>
      </c>
      <c r="E34" s="14" t="s">
        <v>12</v>
      </c>
      <c r="F34" s="14" t="s">
        <v>13</v>
      </c>
      <c r="G34">
        <v>44.89</v>
      </c>
      <c r="H34" s="14" t="s">
        <v>73</v>
      </c>
      <c r="I34">
        <v>7</v>
      </c>
      <c r="J34" s="14" t="s">
        <v>75</v>
      </c>
      <c r="K34" s="14" t="s">
        <v>74</v>
      </c>
    </row>
    <row r="35" spans="1:11" x14ac:dyDescent="0.3">
      <c r="A35" s="14" t="s">
        <v>8</v>
      </c>
      <c r="B35" s="14" t="s">
        <v>53</v>
      </c>
      <c r="C35" s="14" t="s">
        <v>54</v>
      </c>
      <c r="D35" s="14" t="s">
        <v>22</v>
      </c>
      <c r="E35" s="14" t="s">
        <v>12</v>
      </c>
      <c r="F35" s="14" t="s">
        <v>19</v>
      </c>
      <c r="G35">
        <v>4.13</v>
      </c>
      <c r="H35" s="14" t="s">
        <v>73</v>
      </c>
      <c r="I35">
        <v>2</v>
      </c>
      <c r="J35" s="14" t="s">
        <v>75</v>
      </c>
      <c r="K35" s="14" t="s">
        <v>74</v>
      </c>
    </row>
    <row r="36" spans="1:11" x14ac:dyDescent="0.3">
      <c r="A36" s="14" t="s">
        <v>27</v>
      </c>
      <c r="B36" s="14" t="s">
        <v>20</v>
      </c>
      <c r="C36" s="14" t="s">
        <v>21</v>
      </c>
      <c r="D36" s="14" t="s">
        <v>22</v>
      </c>
      <c r="E36" s="14" t="s">
        <v>33</v>
      </c>
      <c r="F36" s="14" t="s">
        <v>52</v>
      </c>
      <c r="G36">
        <v>74.349999999999994</v>
      </c>
      <c r="H36" s="14" t="s">
        <v>73</v>
      </c>
      <c r="I36">
        <v>4</v>
      </c>
      <c r="J36" s="14" t="s">
        <v>75</v>
      </c>
      <c r="K36" s="14" t="s">
        <v>74</v>
      </c>
    </row>
    <row r="37" spans="1:11" x14ac:dyDescent="0.3">
      <c r="A37" s="14" t="s">
        <v>14</v>
      </c>
      <c r="B37" s="14" t="s">
        <v>31</v>
      </c>
      <c r="C37" s="14" t="s">
        <v>32</v>
      </c>
      <c r="D37" s="14" t="s">
        <v>30</v>
      </c>
      <c r="E37" s="14" t="s">
        <v>35</v>
      </c>
      <c r="F37" s="14" t="s">
        <v>36</v>
      </c>
      <c r="G37">
        <v>907.15</v>
      </c>
      <c r="H37" s="14" t="s">
        <v>73</v>
      </c>
      <c r="I37">
        <v>4</v>
      </c>
      <c r="J37" s="14" t="s">
        <v>76</v>
      </c>
      <c r="K37" s="14" t="s">
        <v>74</v>
      </c>
    </row>
    <row r="38" spans="1:11" x14ac:dyDescent="0.3">
      <c r="A38" s="14" t="s">
        <v>14</v>
      </c>
      <c r="B38" s="14" t="s">
        <v>31</v>
      </c>
      <c r="C38" s="14" t="s">
        <v>32</v>
      </c>
      <c r="D38" s="14" t="s">
        <v>30</v>
      </c>
      <c r="E38" s="14" t="s">
        <v>12</v>
      </c>
      <c r="F38" s="14" t="s">
        <v>37</v>
      </c>
      <c r="G38">
        <v>37.340000000000003</v>
      </c>
      <c r="H38" s="14" t="s">
        <v>73</v>
      </c>
      <c r="I38">
        <v>4</v>
      </c>
      <c r="J38" s="14" t="s">
        <v>76</v>
      </c>
      <c r="K38" s="14" t="s">
        <v>74</v>
      </c>
    </row>
    <row r="39" spans="1:11" x14ac:dyDescent="0.3">
      <c r="A39" s="14" t="s">
        <v>14</v>
      </c>
      <c r="B39" s="14" t="s">
        <v>31</v>
      </c>
      <c r="C39" s="14" t="s">
        <v>32</v>
      </c>
      <c r="D39" s="14" t="s">
        <v>30</v>
      </c>
      <c r="E39" s="14" t="s">
        <v>12</v>
      </c>
      <c r="F39" s="14" t="s">
        <v>13</v>
      </c>
      <c r="G39">
        <v>7.85</v>
      </c>
      <c r="H39" s="14" t="s">
        <v>73</v>
      </c>
      <c r="I39">
        <v>1</v>
      </c>
      <c r="J39" s="14" t="s">
        <v>76</v>
      </c>
      <c r="K39" s="14" t="s">
        <v>74</v>
      </c>
    </row>
    <row r="40" spans="1:11" x14ac:dyDescent="0.3">
      <c r="A40" s="14" t="s">
        <v>8</v>
      </c>
      <c r="B40" s="14" t="s">
        <v>38</v>
      </c>
      <c r="C40" s="14" t="s">
        <v>10</v>
      </c>
      <c r="D40" s="14" t="s">
        <v>30</v>
      </c>
      <c r="E40" s="14" t="s">
        <v>33</v>
      </c>
      <c r="F40" s="14" t="s">
        <v>39</v>
      </c>
      <c r="G40">
        <v>92.07</v>
      </c>
      <c r="H40" s="14" t="s">
        <v>73</v>
      </c>
      <c r="I40">
        <v>3</v>
      </c>
      <c r="J40" s="14" t="s">
        <v>76</v>
      </c>
      <c r="K40" s="14" t="s">
        <v>74</v>
      </c>
    </row>
    <row r="41" spans="1:11" x14ac:dyDescent="0.3">
      <c r="A41" s="14" t="s">
        <v>8</v>
      </c>
      <c r="B41" s="14" t="s">
        <v>38</v>
      </c>
      <c r="C41" s="14" t="s">
        <v>10</v>
      </c>
      <c r="D41" s="14" t="s">
        <v>11</v>
      </c>
      <c r="E41" s="14" t="s">
        <v>12</v>
      </c>
      <c r="F41" s="14" t="s">
        <v>19</v>
      </c>
      <c r="G41">
        <v>12.52</v>
      </c>
      <c r="H41" s="14" t="s">
        <v>73</v>
      </c>
      <c r="I41">
        <v>7</v>
      </c>
      <c r="J41" s="14" t="s">
        <v>76</v>
      </c>
      <c r="K41" s="14" t="s">
        <v>74</v>
      </c>
    </row>
    <row r="42" spans="1:11" x14ac:dyDescent="0.3">
      <c r="A42" s="14" t="s">
        <v>8</v>
      </c>
      <c r="B42" s="14" t="s">
        <v>40</v>
      </c>
      <c r="C42" s="14" t="s">
        <v>10</v>
      </c>
      <c r="D42" s="14" t="s">
        <v>11</v>
      </c>
      <c r="E42" s="14" t="s">
        <v>12</v>
      </c>
      <c r="F42" s="14" t="s">
        <v>23</v>
      </c>
      <c r="G42">
        <v>11.21</v>
      </c>
      <c r="H42" s="14" t="s">
        <v>73</v>
      </c>
      <c r="I42">
        <v>2</v>
      </c>
      <c r="J42" s="14" t="s">
        <v>76</v>
      </c>
      <c r="K42" s="14" t="s">
        <v>72</v>
      </c>
    </row>
    <row r="43" spans="1:11" x14ac:dyDescent="0.3">
      <c r="A43" s="14" t="s">
        <v>8</v>
      </c>
      <c r="B43" s="14" t="s">
        <v>40</v>
      </c>
      <c r="C43" s="14" t="s">
        <v>10</v>
      </c>
      <c r="D43" s="14" t="s">
        <v>11</v>
      </c>
      <c r="E43" s="14" t="s">
        <v>35</v>
      </c>
      <c r="F43" s="14" t="s">
        <v>41</v>
      </c>
      <c r="G43">
        <v>37.44</v>
      </c>
      <c r="H43" s="14" t="s">
        <v>73</v>
      </c>
      <c r="I43">
        <v>3</v>
      </c>
      <c r="J43" s="14" t="s">
        <v>76</v>
      </c>
      <c r="K43" s="14" t="s">
        <v>72</v>
      </c>
    </row>
    <row r="44" spans="1:11" x14ac:dyDescent="0.3">
      <c r="A44" s="14" t="s">
        <v>27</v>
      </c>
      <c r="B44" s="14" t="s">
        <v>42</v>
      </c>
      <c r="C44" s="14" t="s">
        <v>43</v>
      </c>
      <c r="D44" s="14" t="s">
        <v>30</v>
      </c>
      <c r="E44" s="14" t="s">
        <v>12</v>
      </c>
      <c r="F44" s="14" t="s">
        <v>17</v>
      </c>
      <c r="G44">
        <v>3.47</v>
      </c>
      <c r="H44" s="14" t="s">
        <v>73</v>
      </c>
      <c r="I44">
        <v>1</v>
      </c>
      <c r="J44" s="14" t="s">
        <v>76</v>
      </c>
      <c r="K44" s="14" t="s">
        <v>72</v>
      </c>
    </row>
    <row r="45" spans="1:11" x14ac:dyDescent="0.3">
      <c r="A45" s="14" t="s">
        <v>27</v>
      </c>
      <c r="B45" s="14" t="s">
        <v>42</v>
      </c>
      <c r="C45" s="14" t="s">
        <v>43</v>
      </c>
      <c r="D45" s="14" t="s">
        <v>30</v>
      </c>
      <c r="E45" s="14" t="s">
        <v>33</v>
      </c>
      <c r="F45" s="14" t="s">
        <v>39</v>
      </c>
      <c r="G45">
        <v>62.33</v>
      </c>
      <c r="H45" s="14" t="s">
        <v>73</v>
      </c>
      <c r="I45">
        <v>1</v>
      </c>
      <c r="J45" s="14" t="s">
        <v>76</v>
      </c>
      <c r="K45" s="14" t="s">
        <v>72</v>
      </c>
    </row>
    <row r="46" spans="1:11" x14ac:dyDescent="0.3">
      <c r="A46" s="14" t="s">
        <v>8</v>
      </c>
      <c r="B46" s="14" t="s">
        <v>9</v>
      </c>
      <c r="C46" s="14" t="s">
        <v>10</v>
      </c>
      <c r="D46" s="14" t="s">
        <v>11</v>
      </c>
      <c r="E46" s="14" t="s">
        <v>12</v>
      </c>
      <c r="F46" s="14" t="s">
        <v>13</v>
      </c>
      <c r="G46">
        <v>19.739999999999998</v>
      </c>
      <c r="H46" s="14" t="s">
        <v>73</v>
      </c>
      <c r="I46">
        <v>5</v>
      </c>
      <c r="J46" s="14" t="s">
        <v>77</v>
      </c>
      <c r="K46" s="14" t="s">
        <v>72</v>
      </c>
    </row>
    <row r="47" spans="1:11" x14ac:dyDescent="0.3">
      <c r="A47" s="14" t="s">
        <v>14</v>
      </c>
      <c r="B47" s="14" t="s">
        <v>15</v>
      </c>
      <c r="C47" s="14" t="s">
        <v>16</v>
      </c>
      <c r="D47" s="14" t="s">
        <v>11</v>
      </c>
      <c r="E47" s="14" t="s">
        <v>12</v>
      </c>
      <c r="F47" s="14" t="s">
        <v>17</v>
      </c>
      <c r="G47">
        <v>14.14</v>
      </c>
      <c r="H47" s="14" t="s">
        <v>73</v>
      </c>
      <c r="I47">
        <v>3</v>
      </c>
      <c r="J47" s="14" t="s">
        <v>77</v>
      </c>
      <c r="K47" s="14" t="s">
        <v>72</v>
      </c>
    </row>
    <row r="48" spans="1:11" x14ac:dyDescent="0.3">
      <c r="A48" s="14" t="s">
        <v>14</v>
      </c>
      <c r="B48" s="14" t="s">
        <v>15</v>
      </c>
      <c r="C48" s="14" t="s">
        <v>16</v>
      </c>
      <c r="D48" s="14" t="s">
        <v>22</v>
      </c>
      <c r="E48" s="14" t="s">
        <v>12</v>
      </c>
      <c r="F48" s="14" t="s">
        <v>18</v>
      </c>
      <c r="G48">
        <v>327.27999999999997</v>
      </c>
      <c r="H48" s="14" t="s">
        <v>73</v>
      </c>
      <c r="I48">
        <v>3</v>
      </c>
      <c r="J48" s="14" t="s">
        <v>77</v>
      </c>
      <c r="K48" s="14" t="s">
        <v>72</v>
      </c>
    </row>
    <row r="49" spans="1:11" x14ac:dyDescent="0.3">
      <c r="A49" s="14" t="s">
        <v>14</v>
      </c>
      <c r="B49" s="14" t="s">
        <v>15</v>
      </c>
      <c r="C49" s="14" t="s">
        <v>16</v>
      </c>
      <c r="D49" s="14" t="s">
        <v>11</v>
      </c>
      <c r="E49" s="14" t="s">
        <v>12</v>
      </c>
      <c r="F49" s="14" t="s">
        <v>19</v>
      </c>
      <c r="G49">
        <v>4.25</v>
      </c>
      <c r="H49" s="14" t="s">
        <v>73</v>
      </c>
      <c r="I49">
        <v>2</v>
      </c>
      <c r="J49" s="14" t="s">
        <v>77</v>
      </c>
      <c r="K49" s="14" t="s">
        <v>72</v>
      </c>
    </row>
    <row r="50" spans="1:11" x14ac:dyDescent="0.3">
      <c r="A50" s="14" t="s">
        <v>8</v>
      </c>
      <c r="B50" s="14" t="s">
        <v>20</v>
      </c>
      <c r="C50" s="14" t="s">
        <v>21</v>
      </c>
      <c r="D50" s="14" t="s">
        <v>22</v>
      </c>
      <c r="E50" s="14" t="s">
        <v>12</v>
      </c>
      <c r="F50" s="14" t="s">
        <v>23</v>
      </c>
      <c r="G50">
        <v>23.44</v>
      </c>
      <c r="H50" s="14" t="s">
        <v>73</v>
      </c>
      <c r="I50">
        <v>3</v>
      </c>
      <c r="J50" s="14" t="s">
        <v>77</v>
      </c>
      <c r="K50" s="14" t="s">
        <v>72</v>
      </c>
    </row>
    <row r="51" spans="1:11" x14ac:dyDescent="0.3">
      <c r="A51" s="14" t="s">
        <v>8</v>
      </c>
      <c r="B51" s="14" t="s">
        <v>24</v>
      </c>
      <c r="C51" s="14" t="s">
        <v>25</v>
      </c>
      <c r="D51" s="14" t="s">
        <v>26</v>
      </c>
      <c r="E51" s="14" t="s">
        <v>12</v>
      </c>
      <c r="F51" s="14" t="s">
        <v>13</v>
      </c>
      <c r="G51">
        <v>23.33</v>
      </c>
      <c r="H51" s="14" t="s">
        <v>73</v>
      </c>
      <c r="I51">
        <v>3</v>
      </c>
      <c r="J51" s="14" t="s">
        <v>77</v>
      </c>
      <c r="K51" s="14" t="s">
        <v>72</v>
      </c>
    </row>
    <row r="52" spans="1:11" x14ac:dyDescent="0.3">
      <c r="A52" s="14" t="s">
        <v>27</v>
      </c>
      <c r="B52" s="14" t="s">
        <v>28</v>
      </c>
      <c r="C52" s="14" t="s">
        <v>29</v>
      </c>
      <c r="D52" s="14" t="s">
        <v>30</v>
      </c>
      <c r="E52" s="14" t="s">
        <v>12</v>
      </c>
      <c r="F52" s="14" t="s">
        <v>23</v>
      </c>
      <c r="G52">
        <v>15.34</v>
      </c>
      <c r="H52" s="14" t="s">
        <v>73</v>
      </c>
      <c r="I52">
        <v>3</v>
      </c>
      <c r="J52" s="14" t="s">
        <v>77</v>
      </c>
      <c r="K52" s="14" t="s">
        <v>72</v>
      </c>
    </row>
    <row r="53" spans="1:11" x14ac:dyDescent="0.3">
      <c r="A53" s="14" t="s">
        <v>14</v>
      </c>
      <c r="B53" s="14" t="s">
        <v>31</v>
      </c>
      <c r="C53" s="14" t="s">
        <v>32</v>
      </c>
      <c r="D53" s="14" t="s">
        <v>30</v>
      </c>
      <c r="E53" s="14" t="s">
        <v>33</v>
      </c>
      <c r="F53" s="14" t="s">
        <v>34</v>
      </c>
      <c r="G53">
        <v>3088.58</v>
      </c>
      <c r="H53" s="14" t="s">
        <v>73</v>
      </c>
      <c r="I53">
        <v>9</v>
      </c>
      <c r="J53" s="14" t="s">
        <v>77</v>
      </c>
      <c r="K53" s="14" t="s">
        <v>72</v>
      </c>
    </row>
    <row r="54" spans="1:11" x14ac:dyDescent="0.3">
      <c r="A54" s="14" t="s">
        <v>14</v>
      </c>
      <c r="B54" s="14" t="s">
        <v>31</v>
      </c>
      <c r="C54" s="14" t="s">
        <v>32</v>
      </c>
      <c r="D54" s="14" t="s">
        <v>30</v>
      </c>
      <c r="E54" s="14" t="s">
        <v>12</v>
      </c>
      <c r="F54" s="14" t="s">
        <v>19</v>
      </c>
      <c r="G54">
        <v>731.98</v>
      </c>
      <c r="H54" s="14" t="s">
        <v>73</v>
      </c>
      <c r="I54">
        <v>2</v>
      </c>
      <c r="J54" s="14" t="s">
        <v>77</v>
      </c>
      <c r="K54" s="14" t="s">
        <v>72</v>
      </c>
    </row>
    <row r="55" spans="1:11" x14ac:dyDescent="0.3">
      <c r="A55" s="14" t="s">
        <v>14</v>
      </c>
      <c r="B55" s="14" t="s">
        <v>31</v>
      </c>
      <c r="C55" s="14" t="s">
        <v>32</v>
      </c>
      <c r="D55" s="14" t="s">
        <v>30</v>
      </c>
      <c r="E55" s="14" t="s">
        <v>12</v>
      </c>
      <c r="F55" s="14" t="s">
        <v>23</v>
      </c>
      <c r="G55">
        <v>6.58</v>
      </c>
      <c r="H55" s="14" t="s">
        <v>73</v>
      </c>
      <c r="I55">
        <v>2</v>
      </c>
      <c r="J55" s="14" t="s">
        <v>77</v>
      </c>
      <c r="K55" s="14" t="s">
        <v>72</v>
      </c>
    </row>
    <row r="56" spans="1:11" x14ac:dyDescent="0.3">
      <c r="A56" s="14" t="s">
        <v>14</v>
      </c>
      <c r="B56" s="14" t="s">
        <v>31</v>
      </c>
      <c r="C56" s="14" t="s">
        <v>32</v>
      </c>
      <c r="D56" s="14" t="s">
        <v>30</v>
      </c>
      <c r="E56" s="14" t="s">
        <v>35</v>
      </c>
      <c r="F56" s="14" t="s">
        <v>36</v>
      </c>
      <c r="G56">
        <v>470.38</v>
      </c>
      <c r="H56" s="14" t="s">
        <v>73</v>
      </c>
      <c r="I56">
        <v>2</v>
      </c>
      <c r="J56" s="14" t="s">
        <v>77</v>
      </c>
      <c r="K56" s="14" t="s">
        <v>72</v>
      </c>
    </row>
    <row r="57" spans="1:11" x14ac:dyDescent="0.3">
      <c r="A57" s="14" t="s">
        <v>27</v>
      </c>
      <c r="B57" s="14" t="s">
        <v>42</v>
      </c>
      <c r="C57" s="14" t="s">
        <v>79</v>
      </c>
      <c r="D57" s="14" t="s">
        <v>78</v>
      </c>
      <c r="E57" s="14" t="s">
        <v>12</v>
      </c>
      <c r="F57" s="14" t="s">
        <v>17</v>
      </c>
      <c r="G57">
        <v>3.47</v>
      </c>
      <c r="H57" s="14" t="s">
        <v>73</v>
      </c>
      <c r="I57">
        <v>1</v>
      </c>
      <c r="J57" s="14" t="s">
        <v>76</v>
      </c>
      <c r="K57" s="14" t="s">
        <v>80</v>
      </c>
    </row>
    <row r="58" spans="1:11" x14ac:dyDescent="0.3">
      <c r="A58" s="14" t="s">
        <v>27</v>
      </c>
      <c r="B58" s="14" t="s">
        <v>42</v>
      </c>
      <c r="C58" s="14" t="s">
        <v>79</v>
      </c>
      <c r="D58" s="14" t="s">
        <v>78</v>
      </c>
      <c r="E58" s="14" t="s">
        <v>33</v>
      </c>
      <c r="F58" s="14" t="s">
        <v>39</v>
      </c>
      <c r="G58">
        <v>62.33</v>
      </c>
      <c r="H58" s="14" t="s">
        <v>73</v>
      </c>
      <c r="I58">
        <v>1</v>
      </c>
      <c r="J58" s="14" t="s">
        <v>76</v>
      </c>
      <c r="K58" s="14" t="s">
        <v>80</v>
      </c>
    </row>
    <row r="59" spans="1:11" x14ac:dyDescent="0.3">
      <c r="A59" s="14" t="s">
        <v>8</v>
      </c>
      <c r="B59" s="14" t="s">
        <v>9</v>
      </c>
      <c r="C59" s="14" t="s">
        <v>10</v>
      </c>
      <c r="D59" s="14" t="s">
        <v>78</v>
      </c>
      <c r="E59" s="14" t="s">
        <v>12</v>
      </c>
      <c r="F59" s="14" t="s">
        <v>13</v>
      </c>
      <c r="G59">
        <v>19.739999999999998</v>
      </c>
      <c r="H59" s="14" t="s">
        <v>73</v>
      </c>
      <c r="I59">
        <v>5</v>
      </c>
      <c r="J59" s="14" t="s">
        <v>77</v>
      </c>
      <c r="K59" s="14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B1D9-9BE0-4744-B5F7-35264E5CBE44}">
  <dimension ref="A1:E95"/>
  <sheetViews>
    <sheetView tabSelected="1" workbookViewId="0">
      <selection activeCell="F8" sqref="F8"/>
    </sheetView>
  </sheetViews>
  <sheetFormatPr defaultRowHeight="14.4" x14ac:dyDescent="0.3"/>
  <cols>
    <col min="1" max="1" width="6.88671875" bestFit="1" customWidth="1"/>
    <col min="2" max="2" width="12.44140625" bestFit="1" customWidth="1"/>
    <col min="3" max="3" width="17.109375" bestFit="1" customWidth="1"/>
    <col min="4" max="4" width="13" bestFit="1" customWidth="1"/>
    <col min="5" max="5" width="16.77734375" bestFit="1" customWidth="1"/>
  </cols>
  <sheetData>
    <row r="1" spans="1:5" x14ac:dyDescent="0.3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3">
      <c r="A2">
        <v>2026</v>
      </c>
      <c r="B2">
        <v>8300678395</v>
      </c>
      <c r="C2" s="14" t="s">
        <v>87</v>
      </c>
      <c r="D2" s="14" t="s">
        <v>88</v>
      </c>
      <c r="E2">
        <v>56</v>
      </c>
    </row>
    <row r="3" spans="1:5" x14ac:dyDescent="0.3">
      <c r="A3">
        <v>2025</v>
      </c>
      <c r="B3">
        <v>8231613070</v>
      </c>
      <c r="C3" s="14" t="s">
        <v>89</v>
      </c>
      <c r="D3" s="14" t="s">
        <v>90</v>
      </c>
      <c r="E3">
        <v>55</v>
      </c>
    </row>
    <row r="4" spans="1:5" x14ac:dyDescent="0.3">
      <c r="A4">
        <v>2024</v>
      </c>
      <c r="B4">
        <v>8161972572</v>
      </c>
      <c r="C4" s="14" t="s">
        <v>91</v>
      </c>
      <c r="D4" s="14" t="s">
        <v>92</v>
      </c>
      <c r="E4">
        <v>55</v>
      </c>
    </row>
    <row r="5" spans="1:5" x14ac:dyDescent="0.3">
      <c r="A5">
        <v>2023</v>
      </c>
      <c r="B5">
        <v>8091734930</v>
      </c>
      <c r="C5" s="14" t="s">
        <v>93</v>
      </c>
      <c r="D5" s="14" t="s">
        <v>94</v>
      </c>
      <c r="E5">
        <v>54</v>
      </c>
    </row>
    <row r="6" spans="1:5" x14ac:dyDescent="0.3">
      <c r="A6">
        <v>2022</v>
      </c>
      <c r="B6">
        <v>8021407192</v>
      </c>
      <c r="C6" s="14" t="s">
        <v>87</v>
      </c>
      <c r="D6" s="14" t="s">
        <v>95</v>
      </c>
      <c r="E6">
        <v>54</v>
      </c>
    </row>
    <row r="7" spans="1:5" x14ac:dyDescent="0.3">
      <c r="A7">
        <v>2021</v>
      </c>
      <c r="B7">
        <v>7954448391</v>
      </c>
      <c r="C7" s="14" t="s">
        <v>96</v>
      </c>
      <c r="D7" s="14" t="s">
        <v>97</v>
      </c>
      <c r="E7">
        <v>53</v>
      </c>
    </row>
    <row r="8" spans="1:5" x14ac:dyDescent="0.3">
      <c r="A8">
        <v>2020</v>
      </c>
      <c r="B8">
        <v>7887001292</v>
      </c>
      <c r="C8" s="14" t="s">
        <v>98</v>
      </c>
      <c r="D8" s="14" t="s">
        <v>99</v>
      </c>
      <c r="E8">
        <v>53</v>
      </c>
    </row>
    <row r="9" spans="1:5" x14ac:dyDescent="0.3">
      <c r="A9">
        <v>2019</v>
      </c>
      <c r="B9">
        <v>7811293698</v>
      </c>
      <c r="C9" s="14" t="s">
        <v>100</v>
      </c>
      <c r="D9" s="14" t="s">
        <v>101</v>
      </c>
      <c r="E9">
        <v>52</v>
      </c>
    </row>
    <row r="10" spans="1:5" x14ac:dyDescent="0.3">
      <c r="A10">
        <v>2018</v>
      </c>
      <c r="B10">
        <v>7729902781</v>
      </c>
      <c r="C10" s="14" t="s">
        <v>102</v>
      </c>
      <c r="D10" s="14" t="s">
        <v>103</v>
      </c>
      <c r="E10">
        <v>52</v>
      </c>
    </row>
    <row r="11" spans="1:5" x14ac:dyDescent="0.3">
      <c r="A11">
        <v>2017</v>
      </c>
      <c r="B11">
        <v>7645617954</v>
      </c>
      <c r="C11" s="14" t="s">
        <v>104</v>
      </c>
      <c r="D11" s="14" t="s">
        <v>105</v>
      </c>
      <c r="E11">
        <v>51</v>
      </c>
    </row>
    <row r="12" spans="1:5" x14ac:dyDescent="0.3">
      <c r="A12">
        <v>2016</v>
      </c>
      <c r="B12">
        <v>7558554526</v>
      </c>
      <c r="C12" s="14" t="s">
        <v>106</v>
      </c>
      <c r="D12" s="14" t="s">
        <v>107</v>
      </c>
      <c r="E12">
        <v>51</v>
      </c>
    </row>
    <row r="13" spans="1:5" x14ac:dyDescent="0.3">
      <c r="A13">
        <v>2015</v>
      </c>
      <c r="B13">
        <v>7470491872</v>
      </c>
      <c r="C13" s="14" t="s">
        <v>108</v>
      </c>
      <c r="D13" s="14" t="s">
        <v>109</v>
      </c>
      <c r="E13">
        <v>50</v>
      </c>
    </row>
    <row r="14" spans="1:5" x14ac:dyDescent="0.3">
      <c r="A14">
        <v>2014</v>
      </c>
      <c r="B14">
        <v>7381616244</v>
      </c>
      <c r="C14" s="14" t="s">
        <v>110</v>
      </c>
      <c r="D14" s="14" t="s">
        <v>111</v>
      </c>
      <c r="E14">
        <v>50</v>
      </c>
    </row>
    <row r="15" spans="1:5" x14ac:dyDescent="0.3">
      <c r="A15">
        <v>2013</v>
      </c>
      <c r="B15">
        <v>7291793585</v>
      </c>
      <c r="C15" s="14" t="s">
        <v>112</v>
      </c>
      <c r="D15" s="14" t="s">
        <v>113</v>
      </c>
      <c r="E15">
        <v>49</v>
      </c>
    </row>
    <row r="16" spans="1:5" x14ac:dyDescent="0.3">
      <c r="A16">
        <v>2012</v>
      </c>
      <c r="B16">
        <v>7201202485</v>
      </c>
      <c r="C16" s="14" t="s">
        <v>114</v>
      </c>
      <c r="D16" s="14" t="s">
        <v>115</v>
      </c>
      <c r="E16">
        <v>48</v>
      </c>
    </row>
    <row r="17" spans="1:5" x14ac:dyDescent="0.3">
      <c r="A17">
        <v>2011</v>
      </c>
      <c r="B17">
        <v>7110923765</v>
      </c>
      <c r="C17" s="14" t="s">
        <v>114</v>
      </c>
      <c r="D17" s="14" t="s">
        <v>116</v>
      </c>
      <c r="E17">
        <v>48</v>
      </c>
    </row>
    <row r="18" spans="1:5" x14ac:dyDescent="0.3">
      <c r="A18">
        <v>2010</v>
      </c>
      <c r="B18">
        <v>7021732148</v>
      </c>
      <c r="C18" s="14" t="s">
        <v>117</v>
      </c>
      <c r="D18" s="14" t="s">
        <v>118</v>
      </c>
      <c r="E18">
        <v>47</v>
      </c>
    </row>
    <row r="19" spans="1:5" x14ac:dyDescent="0.3">
      <c r="A19">
        <v>2009</v>
      </c>
      <c r="B19">
        <v>6932766416</v>
      </c>
      <c r="C19" s="14" t="s">
        <v>119</v>
      </c>
      <c r="D19" s="14" t="s">
        <v>120</v>
      </c>
      <c r="E19">
        <v>47</v>
      </c>
    </row>
    <row r="20" spans="1:5" x14ac:dyDescent="0.3">
      <c r="A20">
        <v>2008</v>
      </c>
      <c r="B20">
        <v>6844457662</v>
      </c>
      <c r="C20" s="14" t="s">
        <v>119</v>
      </c>
      <c r="D20" s="14" t="s">
        <v>121</v>
      </c>
      <c r="E20">
        <v>46</v>
      </c>
    </row>
    <row r="21" spans="1:5" x14ac:dyDescent="0.3">
      <c r="A21">
        <v>2007</v>
      </c>
      <c r="B21">
        <v>6757308781</v>
      </c>
      <c r="C21" s="14" t="s">
        <v>119</v>
      </c>
      <c r="D21" s="14" t="s">
        <v>122</v>
      </c>
      <c r="E21">
        <v>45</v>
      </c>
    </row>
    <row r="22" spans="1:5" x14ac:dyDescent="0.3">
      <c r="A22">
        <v>2006</v>
      </c>
      <c r="B22">
        <v>6671452015</v>
      </c>
      <c r="C22" s="14" t="s">
        <v>117</v>
      </c>
      <c r="D22" s="14" t="s">
        <v>123</v>
      </c>
      <c r="E22">
        <v>45</v>
      </c>
    </row>
    <row r="23" spans="1:5" x14ac:dyDescent="0.3">
      <c r="A23">
        <v>2005</v>
      </c>
      <c r="B23">
        <v>6586970132</v>
      </c>
      <c r="C23" s="14" t="s">
        <v>119</v>
      </c>
      <c r="D23" s="14" t="s">
        <v>124</v>
      </c>
      <c r="E23">
        <v>44</v>
      </c>
    </row>
    <row r="24" spans="1:5" x14ac:dyDescent="0.3">
      <c r="A24">
        <v>2004</v>
      </c>
      <c r="B24">
        <v>6503377772</v>
      </c>
      <c r="C24" s="14" t="s">
        <v>119</v>
      </c>
      <c r="D24" s="14" t="s">
        <v>125</v>
      </c>
      <c r="E24">
        <v>44</v>
      </c>
    </row>
    <row r="25" spans="1:5" x14ac:dyDescent="0.3">
      <c r="A25">
        <v>2003</v>
      </c>
      <c r="B25">
        <v>6420361634</v>
      </c>
      <c r="C25" s="14" t="s">
        <v>126</v>
      </c>
      <c r="D25" s="14" t="s">
        <v>127</v>
      </c>
      <c r="E25">
        <v>43</v>
      </c>
    </row>
    <row r="26" spans="1:5" x14ac:dyDescent="0.3">
      <c r="A26">
        <v>2002</v>
      </c>
      <c r="B26">
        <v>6337730342</v>
      </c>
      <c r="C26" s="14" t="s">
        <v>128</v>
      </c>
      <c r="D26" s="14" t="s">
        <v>129</v>
      </c>
      <c r="E26">
        <v>43</v>
      </c>
    </row>
    <row r="27" spans="1:5" x14ac:dyDescent="0.3">
      <c r="A27">
        <v>2001</v>
      </c>
      <c r="B27">
        <v>6254936459</v>
      </c>
      <c r="C27" s="14" t="s">
        <v>130</v>
      </c>
      <c r="D27" s="14" t="s">
        <v>131</v>
      </c>
      <c r="E27">
        <v>42</v>
      </c>
    </row>
    <row r="28" spans="1:5" x14ac:dyDescent="0.3">
      <c r="A28">
        <v>2000</v>
      </c>
      <c r="B28">
        <v>6171702993</v>
      </c>
      <c r="C28" s="14" t="s">
        <v>132</v>
      </c>
      <c r="D28" s="14" t="s">
        <v>133</v>
      </c>
      <c r="E28">
        <v>41</v>
      </c>
    </row>
    <row r="29" spans="1:5" x14ac:dyDescent="0.3">
      <c r="A29">
        <v>1999</v>
      </c>
      <c r="B29">
        <v>6089006339</v>
      </c>
      <c r="C29" s="14" t="s">
        <v>132</v>
      </c>
      <c r="D29" s="14" t="s">
        <v>134</v>
      </c>
      <c r="E29">
        <v>41</v>
      </c>
    </row>
    <row r="30" spans="1:5" x14ac:dyDescent="0.3">
      <c r="A30">
        <v>1998</v>
      </c>
      <c r="B30">
        <v>6007066690</v>
      </c>
      <c r="C30" s="14" t="s">
        <v>135</v>
      </c>
      <c r="D30" s="14" t="s">
        <v>136</v>
      </c>
      <c r="E30">
        <v>40</v>
      </c>
    </row>
    <row r="31" spans="1:5" x14ac:dyDescent="0.3">
      <c r="A31">
        <v>1997</v>
      </c>
      <c r="B31">
        <v>5924787816</v>
      </c>
      <c r="C31" s="14" t="s">
        <v>137</v>
      </c>
      <c r="D31" s="14" t="s">
        <v>138</v>
      </c>
      <c r="E31">
        <v>40</v>
      </c>
    </row>
    <row r="32" spans="1:5" x14ac:dyDescent="0.3">
      <c r="A32">
        <v>1996</v>
      </c>
      <c r="B32">
        <v>5842055734</v>
      </c>
      <c r="C32" s="14" t="s">
        <v>139</v>
      </c>
      <c r="D32" s="14" t="s">
        <v>140</v>
      </c>
      <c r="E32">
        <v>39</v>
      </c>
    </row>
    <row r="33" spans="1:5" x14ac:dyDescent="0.3">
      <c r="A33">
        <v>1995</v>
      </c>
      <c r="B33">
        <v>5758878982</v>
      </c>
      <c r="C33" s="14" t="s">
        <v>141</v>
      </c>
      <c r="D33" s="14" t="s">
        <v>142</v>
      </c>
      <c r="E33">
        <v>39</v>
      </c>
    </row>
    <row r="34" spans="1:5" x14ac:dyDescent="0.3">
      <c r="A34">
        <v>1994</v>
      </c>
      <c r="B34">
        <v>5675551255</v>
      </c>
      <c r="C34" s="14" t="s">
        <v>143</v>
      </c>
      <c r="D34" s="14" t="s">
        <v>144</v>
      </c>
      <c r="E34">
        <v>38</v>
      </c>
    </row>
    <row r="35" spans="1:5" x14ac:dyDescent="0.3">
      <c r="A35">
        <v>1993</v>
      </c>
      <c r="B35">
        <v>5591544797</v>
      </c>
      <c r="C35" s="14" t="s">
        <v>145</v>
      </c>
      <c r="D35" s="14" t="s">
        <v>146</v>
      </c>
      <c r="E35">
        <v>38</v>
      </c>
    </row>
    <row r="36" spans="1:5" x14ac:dyDescent="0.3">
      <c r="A36">
        <v>1992</v>
      </c>
      <c r="B36">
        <v>5505989816</v>
      </c>
      <c r="C36" s="14" t="s">
        <v>147</v>
      </c>
      <c r="D36" s="14" t="s">
        <v>148</v>
      </c>
      <c r="E36">
        <v>37</v>
      </c>
    </row>
    <row r="37" spans="1:5" x14ac:dyDescent="0.3">
      <c r="A37">
        <v>1991</v>
      </c>
      <c r="B37">
        <v>5418735891</v>
      </c>
      <c r="C37" s="14" t="s">
        <v>149</v>
      </c>
      <c r="D37" s="14" t="s">
        <v>150</v>
      </c>
      <c r="E37">
        <v>36</v>
      </c>
    </row>
    <row r="38" spans="1:5" x14ac:dyDescent="0.3">
      <c r="A38">
        <v>1990</v>
      </c>
      <c r="B38">
        <v>5327803110</v>
      </c>
      <c r="C38" s="14" t="s">
        <v>151</v>
      </c>
      <c r="D38" s="14" t="s">
        <v>152</v>
      </c>
      <c r="E38">
        <v>36</v>
      </c>
    </row>
    <row r="39" spans="1:5" x14ac:dyDescent="0.3">
      <c r="A39">
        <v>1989</v>
      </c>
      <c r="B39">
        <v>5234431732</v>
      </c>
      <c r="C39" s="14" t="s">
        <v>153</v>
      </c>
      <c r="D39" s="14" t="s">
        <v>154</v>
      </c>
      <c r="E39">
        <v>35</v>
      </c>
    </row>
    <row r="40" spans="1:5" x14ac:dyDescent="0.3">
      <c r="A40">
        <v>1988</v>
      </c>
      <c r="B40">
        <v>5141992542</v>
      </c>
      <c r="C40" s="14" t="s">
        <v>155</v>
      </c>
      <c r="D40" s="14" t="s">
        <v>156</v>
      </c>
      <c r="E40">
        <v>35</v>
      </c>
    </row>
    <row r="41" spans="1:5" x14ac:dyDescent="0.3">
      <c r="A41">
        <v>1987</v>
      </c>
      <c r="B41">
        <v>5049746397</v>
      </c>
      <c r="C41" s="14" t="s">
        <v>157</v>
      </c>
      <c r="D41" s="14" t="s">
        <v>158</v>
      </c>
      <c r="E41">
        <v>34</v>
      </c>
    </row>
    <row r="42" spans="1:5" x14ac:dyDescent="0.3">
      <c r="A42">
        <v>1986</v>
      </c>
      <c r="B42">
        <v>4958072838</v>
      </c>
      <c r="C42" s="14" t="s">
        <v>155</v>
      </c>
      <c r="D42" s="14" t="s">
        <v>159</v>
      </c>
      <c r="E42">
        <v>33</v>
      </c>
    </row>
    <row r="43" spans="1:5" x14ac:dyDescent="0.3">
      <c r="A43">
        <v>1985</v>
      </c>
      <c r="B43">
        <v>4868943465</v>
      </c>
      <c r="C43" s="14" t="s">
        <v>160</v>
      </c>
      <c r="D43" s="14" t="s">
        <v>161</v>
      </c>
      <c r="E43">
        <v>33</v>
      </c>
    </row>
    <row r="44" spans="1:5" x14ac:dyDescent="0.3">
      <c r="A44">
        <v>1984</v>
      </c>
      <c r="B44">
        <v>4782175519</v>
      </c>
      <c r="C44" s="14" t="s">
        <v>160</v>
      </c>
      <c r="D44" s="14" t="s">
        <v>162</v>
      </c>
      <c r="E44">
        <v>32</v>
      </c>
    </row>
    <row r="45" spans="1:5" x14ac:dyDescent="0.3">
      <c r="A45">
        <v>1983</v>
      </c>
      <c r="B45">
        <v>4697327573</v>
      </c>
      <c r="C45" s="14" t="s">
        <v>163</v>
      </c>
      <c r="D45" s="14" t="s">
        <v>164</v>
      </c>
      <c r="E45">
        <v>32</v>
      </c>
    </row>
    <row r="46" spans="1:5" x14ac:dyDescent="0.3">
      <c r="A46">
        <v>1982</v>
      </c>
      <c r="B46">
        <v>4612673421</v>
      </c>
      <c r="C46" s="14" t="s">
        <v>157</v>
      </c>
      <c r="D46" s="14" t="s">
        <v>165</v>
      </c>
      <c r="E46">
        <v>31</v>
      </c>
    </row>
    <row r="47" spans="1:5" x14ac:dyDescent="0.3">
      <c r="A47">
        <v>1981</v>
      </c>
      <c r="B47">
        <v>4528777306</v>
      </c>
      <c r="C47" s="14" t="s">
        <v>155</v>
      </c>
      <c r="D47" s="14" t="s">
        <v>166</v>
      </c>
      <c r="E47">
        <v>30</v>
      </c>
    </row>
    <row r="48" spans="1:5" x14ac:dyDescent="0.3">
      <c r="A48">
        <v>1980</v>
      </c>
      <c r="B48">
        <v>4447606236</v>
      </c>
      <c r="C48" s="14" t="s">
        <v>160</v>
      </c>
      <c r="D48" s="14" t="s">
        <v>167</v>
      </c>
      <c r="E48">
        <v>30</v>
      </c>
    </row>
    <row r="49" spans="1:5" x14ac:dyDescent="0.3">
      <c r="A49">
        <v>1979</v>
      </c>
      <c r="B49">
        <v>4368539528</v>
      </c>
      <c r="C49" s="14" t="s">
        <v>151</v>
      </c>
      <c r="D49" s="14" t="s">
        <v>168</v>
      </c>
      <c r="E49">
        <v>29</v>
      </c>
    </row>
    <row r="50" spans="1:5" x14ac:dyDescent="0.3">
      <c r="A50">
        <v>1978</v>
      </c>
      <c r="B50">
        <v>4292097502</v>
      </c>
      <c r="C50" s="14" t="s">
        <v>169</v>
      </c>
      <c r="D50" s="14" t="s">
        <v>170</v>
      </c>
      <c r="E50">
        <v>29</v>
      </c>
    </row>
    <row r="51" spans="1:5" x14ac:dyDescent="0.3">
      <c r="A51">
        <v>1977</v>
      </c>
      <c r="B51">
        <v>4217863796</v>
      </c>
      <c r="C51" s="14" t="s">
        <v>151</v>
      </c>
      <c r="D51" s="14" t="s">
        <v>171</v>
      </c>
      <c r="E51">
        <v>28</v>
      </c>
    </row>
    <row r="52" spans="1:5" x14ac:dyDescent="0.3">
      <c r="A52">
        <v>1976</v>
      </c>
      <c r="B52">
        <v>4144246377</v>
      </c>
      <c r="C52" s="14" t="s">
        <v>160</v>
      </c>
      <c r="D52" s="14" t="s">
        <v>172</v>
      </c>
      <c r="E52">
        <v>28</v>
      </c>
    </row>
    <row r="53" spans="1:5" x14ac:dyDescent="0.3">
      <c r="A53">
        <v>1975</v>
      </c>
      <c r="B53">
        <v>4070735277</v>
      </c>
      <c r="C53" s="14" t="s">
        <v>173</v>
      </c>
      <c r="D53" s="14" t="s">
        <v>174</v>
      </c>
      <c r="E53">
        <v>27</v>
      </c>
    </row>
    <row r="54" spans="1:5" x14ac:dyDescent="0.3">
      <c r="A54">
        <v>1974</v>
      </c>
      <c r="B54">
        <v>3996416096</v>
      </c>
      <c r="C54" s="14" t="s">
        <v>175</v>
      </c>
      <c r="D54" s="14" t="s">
        <v>176</v>
      </c>
      <c r="E54">
        <v>27</v>
      </c>
    </row>
    <row r="55" spans="1:5" x14ac:dyDescent="0.3">
      <c r="A55">
        <v>1973</v>
      </c>
      <c r="B55">
        <v>3920805042</v>
      </c>
      <c r="C55" s="14" t="s">
        <v>177</v>
      </c>
      <c r="D55" s="14" t="s">
        <v>178</v>
      </c>
      <c r="E55">
        <v>26</v>
      </c>
    </row>
    <row r="56" spans="1:5" x14ac:dyDescent="0.3">
      <c r="A56">
        <v>1972</v>
      </c>
      <c r="B56">
        <v>3844917680</v>
      </c>
      <c r="C56" s="14" t="s">
        <v>179</v>
      </c>
      <c r="D56" s="14" t="s">
        <v>180</v>
      </c>
      <c r="E56">
        <v>26</v>
      </c>
    </row>
    <row r="57" spans="1:5" x14ac:dyDescent="0.3">
      <c r="A57">
        <v>1971</v>
      </c>
      <c r="B57">
        <v>3769847865</v>
      </c>
      <c r="C57" s="14" t="s">
        <v>181</v>
      </c>
      <c r="D57" s="14" t="s">
        <v>182</v>
      </c>
      <c r="E57">
        <v>25</v>
      </c>
    </row>
    <row r="58" spans="1:5" x14ac:dyDescent="0.3">
      <c r="A58">
        <v>1970</v>
      </c>
      <c r="B58">
        <v>3694683794</v>
      </c>
      <c r="C58" s="14" t="s">
        <v>183</v>
      </c>
      <c r="D58" s="14" t="s">
        <v>184</v>
      </c>
      <c r="E58">
        <v>25</v>
      </c>
    </row>
    <row r="59" spans="1:5" x14ac:dyDescent="0.3">
      <c r="A59">
        <v>1969</v>
      </c>
      <c r="B59">
        <v>3619491579</v>
      </c>
      <c r="C59" s="14" t="s">
        <v>185</v>
      </c>
      <c r="D59" s="14" t="s">
        <v>186</v>
      </c>
      <c r="E59">
        <v>24</v>
      </c>
    </row>
    <row r="60" spans="1:5" x14ac:dyDescent="0.3">
      <c r="A60">
        <v>1968</v>
      </c>
      <c r="B60">
        <v>3545187251</v>
      </c>
      <c r="C60" s="14" t="s">
        <v>187</v>
      </c>
      <c r="D60" s="14" t="s">
        <v>188</v>
      </c>
      <c r="E60">
        <v>24</v>
      </c>
    </row>
    <row r="61" spans="1:5" x14ac:dyDescent="0.3">
      <c r="A61">
        <v>1967</v>
      </c>
      <c r="B61">
        <v>3473412880</v>
      </c>
      <c r="C61" s="14" t="s">
        <v>189</v>
      </c>
      <c r="D61" s="14" t="s">
        <v>190</v>
      </c>
      <c r="E61">
        <v>23</v>
      </c>
    </row>
    <row r="62" spans="1:5" x14ac:dyDescent="0.3">
      <c r="A62">
        <v>1966</v>
      </c>
      <c r="B62">
        <v>3404041125</v>
      </c>
      <c r="C62" s="14" t="s">
        <v>183</v>
      </c>
      <c r="D62" s="14" t="s">
        <v>191</v>
      </c>
      <c r="E62">
        <v>23</v>
      </c>
    </row>
    <row r="63" spans="1:5" x14ac:dyDescent="0.3">
      <c r="A63">
        <v>1965</v>
      </c>
      <c r="B63">
        <v>3334533703</v>
      </c>
      <c r="C63" s="14" t="s">
        <v>192</v>
      </c>
      <c r="D63" s="14" t="s">
        <v>193</v>
      </c>
      <c r="E63">
        <v>22</v>
      </c>
    </row>
    <row r="64" spans="1:5" x14ac:dyDescent="0.3">
      <c r="A64">
        <v>1964</v>
      </c>
      <c r="B64">
        <v>3264487339</v>
      </c>
      <c r="C64" s="14" t="s">
        <v>194</v>
      </c>
      <c r="D64" s="14" t="s">
        <v>195</v>
      </c>
      <c r="E64">
        <v>22</v>
      </c>
    </row>
    <row r="65" spans="1:5" x14ac:dyDescent="0.3">
      <c r="A65">
        <v>1963</v>
      </c>
      <c r="B65">
        <v>3192807828</v>
      </c>
      <c r="C65" s="14" t="s">
        <v>196</v>
      </c>
      <c r="D65" s="14" t="s">
        <v>197</v>
      </c>
      <c r="E65">
        <v>21</v>
      </c>
    </row>
    <row r="66" spans="1:5" x14ac:dyDescent="0.3">
      <c r="A66">
        <v>1962</v>
      </c>
      <c r="B66">
        <v>3123374315</v>
      </c>
      <c r="C66" s="14" t="s">
        <v>198</v>
      </c>
      <c r="D66" s="14" t="s">
        <v>199</v>
      </c>
      <c r="E66">
        <v>21</v>
      </c>
    </row>
    <row r="67" spans="1:5" x14ac:dyDescent="0.3">
      <c r="A67">
        <v>1961</v>
      </c>
      <c r="B67">
        <v>3064869675</v>
      </c>
      <c r="C67" s="14" t="s">
        <v>200</v>
      </c>
      <c r="D67" s="14" t="s">
        <v>201</v>
      </c>
      <c r="E67">
        <v>21</v>
      </c>
    </row>
    <row r="68" spans="1:5" x14ac:dyDescent="0.3">
      <c r="A68">
        <v>1960</v>
      </c>
      <c r="B68">
        <v>3015470894</v>
      </c>
      <c r="C68" s="14" t="s">
        <v>202</v>
      </c>
      <c r="D68" s="14" t="s">
        <v>203</v>
      </c>
      <c r="E68">
        <v>20</v>
      </c>
    </row>
    <row r="69" spans="1:5" x14ac:dyDescent="0.3">
      <c r="A69">
        <v>1959</v>
      </c>
      <c r="B69">
        <v>2965950351</v>
      </c>
      <c r="C69" s="14" t="s">
        <v>204</v>
      </c>
      <c r="D69" s="14" t="s">
        <v>205</v>
      </c>
      <c r="E69">
        <v>20</v>
      </c>
    </row>
    <row r="70" spans="1:5" x14ac:dyDescent="0.3">
      <c r="A70">
        <v>1958</v>
      </c>
      <c r="B70">
        <v>2911249671</v>
      </c>
      <c r="C70" s="14" t="s">
        <v>206</v>
      </c>
      <c r="D70" s="14" t="s">
        <v>207</v>
      </c>
      <c r="E70">
        <v>20</v>
      </c>
    </row>
    <row r="71" spans="1:5" x14ac:dyDescent="0.3">
      <c r="A71">
        <v>1957</v>
      </c>
      <c r="B71">
        <v>2852618337</v>
      </c>
      <c r="C71" s="14" t="s">
        <v>208</v>
      </c>
      <c r="D71" s="14" t="s">
        <v>209</v>
      </c>
      <c r="E71">
        <v>19</v>
      </c>
    </row>
    <row r="72" spans="1:5" x14ac:dyDescent="0.3">
      <c r="A72">
        <v>1956</v>
      </c>
      <c r="B72">
        <v>2795409994</v>
      </c>
      <c r="C72" s="14" t="s">
        <v>210</v>
      </c>
      <c r="D72" s="14" t="s">
        <v>211</v>
      </c>
      <c r="E72">
        <v>19</v>
      </c>
    </row>
    <row r="73" spans="1:5" x14ac:dyDescent="0.3">
      <c r="A73">
        <v>1955</v>
      </c>
      <c r="B73">
        <v>2740213792</v>
      </c>
      <c r="C73" s="14" t="s">
        <v>212</v>
      </c>
      <c r="D73" s="14" t="s">
        <v>213</v>
      </c>
      <c r="E73">
        <v>18</v>
      </c>
    </row>
    <row r="74" spans="1:5" x14ac:dyDescent="0.3">
      <c r="A74">
        <v>1954</v>
      </c>
      <c r="B74">
        <v>2685894860</v>
      </c>
      <c r="C74" s="14" t="s">
        <v>177</v>
      </c>
      <c r="D74" s="14" t="s">
        <v>214</v>
      </c>
      <c r="E74">
        <v>18</v>
      </c>
    </row>
    <row r="75" spans="1:5" x14ac:dyDescent="0.3">
      <c r="A75">
        <v>1953</v>
      </c>
      <c r="B75">
        <v>2634106235</v>
      </c>
      <c r="C75" s="14" t="s">
        <v>215</v>
      </c>
      <c r="D75" s="14" t="s">
        <v>216</v>
      </c>
      <c r="E75">
        <v>18</v>
      </c>
    </row>
    <row r="76" spans="1:5" x14ac:dyDescent="0.3">
      <c r="A76">
        <v>1952</v>
      </c>
      <c r="B76">
        <v>2584086339</v>
      </c>
      <c r="C76" s="14" t="s">
        <v>173</v>
      </c>
      <c r="D76" s="14" t="s">
        <v>217</v>
      </c>
      <c r="E76">
        <v>17</v>
      </c>
    </row>
    <row r="77" spans="1:5" x14ac:dyDescent="0.3">
      <c r="A77">
        <v>1951</v>
      </c>
      <c r="B77">
        <v>2536927035</v>
      </c>
      <c r="C77" s="14" t="s">
        <v>169</v>
      </c>
      <c r="D77" s="14" t="s">
        <v>218</v>
      </c>
      <c r="E77">
        <v>17</v>
      </c>
    </row>
    <row r="78" spans="1:5" x14ac:dyDescent="0.3">
      <c r="A78">
        <v>1950</v>
      </c>
      <c r="B78">
        <v>2493092848</v>
      </c>
      <c r="C78" s="14" t="s">
        <v>219</v>
      </c>
      <c r="D78" s="14" t="s">
        <v>219</v>
      </c>
      <c r="E78">
        <v>17</v>
      </c>
    </row>
    <row r="79" spans="1:5" x14ac:dyDescent="0.3">
      <c r="A79">
        <v>1927</v>
      </c>
      <c r="B79">
        <v>2000000000</v>
      </c>
      <c r="C79" s="14" t="s">
        <v>219</v>
      </c>
      <c r="D79" s="14" t="s">
        <v>219</v>
      </c>
      <c r="E79">
        <v>13</v>
      </c>
    </row>
    <row r="80" spans="1:5" x14ac:dyDescent="0.3">
      <c r="A80">
        <v>1900</v>
      </c>
      <c r="B80">
        <v>1600000000</v>
      </c>
      <c r="C80" s="14" t="s">
        <v>219</v>
      </c>
      <c r="D80" s="14" t="s">
        <v>219</v>
      </c>
      <c r="E80">
        <v>11</v>
      </c>
    </row>
    <row r="81" spans="1:5" x14ac:dyDescent="0.3">
      <c r="A81">
        <v>1850</v>
      </c>
      <c r="B81">
        <v>1200000000</v>
      </c>
      <c r="C81" s="14" t="s">
        <v>219</v>
      </c>
      <c r="D81" s="14" t="s">
        <v>219</v>
      </c>
      <c r="E81">
        <v>8</v>
      </c>
    </row>
    <row r="82" spans="1:5" x14ac:dyDescent="0.3">
      <c r="A82">
        <v>1804</v>
      </c>
      <c r="B82">
        <v>1000000000</v>
      </c>
      <c r="C82" s="14" t="s">
        <v>219</v>
      </c>
      <c r="D82" s="14" t="s">
        <v>219</v>
      </c>
      <c r="E82">
        <v>7</v>
      </c>
    </row>
    <row r="83" spans="1:5" x14ac:dyDescent="0.3">
      <c r="A83">
        <v>1760</v>
      </c>
      <c r="B83">
        <v>770000000</v>
      </c>
      <c r="C83" s="14" t="s">
        <v>219</v>
      </c>
      <c r="D83" s="14" t="s">
        <v>219</v>
      </c>
      <c r="E83">
        <v>5</v>
      </c>
    </row>
    <row r="84" spans="1:5" x14ac:dyDescent="0.3">
      <c r="A84">
        <v>1700</v>
      </c>
      <c r="B84">
        <v>610000000</v>
      </c>
      <c r="C84" s="14" t="s">
        <v>219</v>
      </c>
      <c r="D84" s="14" t="s">
        <v>219</v>
      </c>
      <c r="E84">
        <v>4</v>
      </c>
    </row>
    <row r="85" spans="1:5" x14ac:dyDescent="0.3">
      <c r="A85">
        <v>1650</v>
      </c>
      <c r="B85">
        <v>500000000</v>
      </c>
      <c r="C85" s="14" t="s">
        <v>219</v>
      </c>
      <c r="D85" s="14" t="s">
        <v>219</v>
      </c>
      <c r="E85">
        <v>3</v>
      </c>
    </row>
    <row r="86" spans="1:5" x14ac:dyDescent="0.3">
      <c r="A86">
        <v>1500</v>
      </c>
      <c r="B86">
        <v>450000000</v>
      </c>
      <c r="C86" s="14" t="s">
        <v>219</v>
      </c>
      <c r="D86" s="14" t="s">
        <v>219</v>
      </c>
      <c r="E86">
        <v>3</v>
      </c>
    </row>
    <row r="87" spans="1:5" x14ac:dyDescent="0.3">
      <c r="A87">
        <v>1400</v>
      </c>
      <c r="B87">
        <v>350000000</v>
      </c>
      <c r="C87" s="14" t="s">
        <v>219</v>
      </c>
      <c r="D87" s="14" t="s">
        <v>219</v>
      </c>
      <c r="E87">
        <v>2</v>
      </c>
    </row>
    <row r="88" spans="1:5" x14ac:dyDescent="0.3">
      <c r="A88">
        <v>1200</v>
      </c>
      <c r="B88">
        <v>360000000</v>
      </c>
      <c r="C88" s="14" t="s">
        <v>219</v>
      </c>
      <c r="D88" s="14" t="s">
        <v>219</v>
      </c>
      <c r="E88">
        <v>2</v>
      </c>
    </row>
    <row r="89" spans="1:5" x14ac:dyDescent="0.3">
      <c r="A89">
        <v>1100</v>
      </c>
      <c r="B89">
        <v>320000000</v>
      </c>
      <c r="C89" s="14" t="s">
        <v>219</v>
      </c>
      <c r="D89" s="14" t="s">
        <v>219</v>
      </c>
      <c r="E89">
        <v>2</v>
      </c>
    </row>
    <row r="90" spans="1:5" x14ac:dyDescent="0.3">
      <c r="A90">
        <v>1000</v>
      </c>
      <c r="B90">
        <v>275000000</v>
      </c>
      <c r="C90" s="14" t="s">
        <v>219</v>
      </c>
      <c r="D90" s="14" t="s">
        <v>219</v>
      </c>
      <c r="E90">
        <v>2</v>
      </c>
    </row>
    <row r="91" spans="1:5" x14ac:dyDescent="0.3">
      <c r="A91">
        <v>900</v>
      </c>
      <c r="B91">
        <v>240000000</v>
      </c>
      <c r="C91" s="14" t="s">
        <v>219</v>
      </c>
      <c r="D91" s="14" t="s">
        <v>219</v>
      </c>
      <c r="E91">
        <v>2</v>
      </c>
    </row>
    <row r="92" spans="1:5" x14ac:dyDescent="0.3">
      <c r="A92">
        <v>800</v>
      </c>
      <c r="B92">
        <v>220000000</v>
      </c>
      <c r="C92" s="14" t="s">
        <v>219</v>
      </c>
      <c r="D92" s="14" t="s">
        <v>219</v>
      </c>
      <c r="E92">
        <v>1</v>
      </c>
    </row>
    <row r="93" spans="1:5" x14ac:dyDescent="0.3">
      <c r="A93">
        <v>700</v>
      </c>
      <c r="B93">
        <v>210000000</v>
      </c>
      <c r="C93" s="14" t="s">
        <v>219</v>
      </c>
      <c r="D93" s="14" t="s">
        <v>219</v>
      </c>
      <c r="E93">
        <v>1</v>
      </c>
    </row>
    <row r="94" spans="1:5" x14ac:dyDescent="0.3">
      <c r="A94">
        <v>600</v>
      </c>
      <c r="B94">
        <v>200000000</v>
      </c>
      <c r="C94" s="14" t="s">
        <v>219</v>
      </c>
      <c r="D94" s="14" t="s">
        <v>219</v>
      </c>
      <c r="E94">
        <v>1</v>
      </c>
    </row>
    <row r="95" spans="1:5" x14ac:dyDescent="0.3">
      <c r="A95">
        <v>200</v>
      </c>
      <c r="B95">
        <v>190000000</v>
      </c>
      <c r="C95" s="14" t="s">
        <v>219</v>
      </c>
      <c r="D95" s="14" t="s">
        <v>219</v>
      </c>
      <c r="E9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7B09-C119-4713-B496-262906FDE2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D959-9520-4C05-B769-E68452D2A191}">
  <dimension ref="A1:L67"/>
  <sheetViews>
    <sheetView topLeftCell="A53" workbookViewId="0">
      <selection activeCell="D71" sqref="D71"/>
    </sheetView>
  </sheetViews>
  <sheetFormatPr defaultRowHeight="14.4" x14ac:dyDescent="0.3"/>
  <cols>
    <col min="1" max="1" width="11.33203125" bestFit="1" customWidth="1"/>
    <col min="2" max="2" width="13.88671875" bestFit="1" customWidth="1"/>
    <col min="3" max="3" width="12.88671875" bestFit="1" customWidth="1"/>
    <col min="4" max="4" width="9.21875" customWidth="1"/>
    <col min="5" max="5" width="13.109375" bestFit="1" customWidth="1"/>
    <col min="6" max="6" width="15.21875" customWidth="1"/>
    <col min="7" max="7" width="8" bestFit="1" customWidth="1"/>
    <col min="8" max="8" width="22.21875" customWidth="1"/>
    <col min="9" max="9" width="11.109375" customWidth="1"/>
    <col min="10" max="10" width="14.21875" customWidth="1"/>
    <col min="11" max="11" width="9.109375" customWidth="1"/>
    <col min="12" max="12" width="10.33203125" bestFit="1" customWidth="1"/>
  </cols>
  <sheetData>
    <row r="1" spans="1:12" ht="15.6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69</v>
      </c>
      <c r="I1" s="1" t="s">
        <v>7</v>
      </c>
      <c r="J1" s="3" t="s">
        <v>67</v>
      </c>
      <c r="K1" s="8" t="s">
        <v>68</v>
      </c>
    </row>
    <row r="2" spans="1:12" x14ac:dyDescent="0.3">
      <c r="A2" s="7" t="s">
        <v>8</v>
      </c>
      <c r="B2" s="2" t="s">
        <v>55</v>
      </c>
      <c r="C2" s="2" t="s">
        <v>29</v>
      </c>
      <c r="D2" s="2" t="s">
        <v>30</v>
      </c>
      <c r="E2" s="2" t="s">
        <v>35</v>
      </c>
      <c r="F2" s="2" t="s">
        <v>41</v>
      </c>
      <c r="G2" s="2">
        <v>179.94</v>
      </c>
      <c r="H2" s="2" t="str">
        <f>[1]!Table2[[#This Row],[Quarters(ROUNDUP)]]</f>
        <v>Q3</v>
      </c>
      <c r="I2" s="2">
        <v>5</v>
      </c>
      <c r="J2" s="5">
        <v>46041</v>
      </c>
      <c r="K2" s="9">
        <v>1</v>
      </c>
    </row>
    <row r="3" spans="1:12" x14ac:dyDescent="0.3">
      <c r="A3" s="7" t="s">
        <v>8</v>
      </c>
      <c r="B3" s="2" t="s">
        <v>20</v>
      </c>
      <c r="C3" s="2" t="s">
        <v>21</v>
      </c>
      <c r="D3" s="2" t="s">
        <v>22</v>
      </c>
      <c r="E3" s="2" t="s">
        <v>33</v>
      </c>
      <c r="F3" s="2" t="s">
        <v>39</v>
      </c>
      <c r="G3" s="2">
        <v>152.52000000000001</v>
      </c>
      <c r="H3" s="2" t="str">
        <f>[1]!Table2[[#This Row],[Quarters(ROUNDUP)]]</f>
        <v>Q1</v>
      </c>
      <c r="I3" s="2">
        <v>6</v>
      </c>
      <c r="J3" s="5">
        <v>46041</v>
      </c>
      <c r="K3" s="9">
        <v>0</v>
      </c>
    </row>
    <row r="4" spans="1:12" x14ac:dyDescent="0.3">
      <c r="A4" s="7" t="s">
        <v>8</v>
      </c>
      <c r="B4" s="2" t="s">
        <v>20</v>
      </c>
      <c r="C4" s="2" t="s">
        <v>21</v>
      </c>
      <c r="D4" s="2" t="s">
        <v>22</v>
      </c>
      <c r="E4" s="2" t="s">
        <v>35</v>
      </c>
      <c r="F4" s="2" t="s">
        <v>36</v>
      </c>
      <c r="G4" s="2">
        <v>149.04</v>
      </c>
      <c r="H4" s="2" t="str">
        <f>[1]!Table2[[#This Row],[Quarters(ROUNDUP)]]</f>
        <v>Q1</v>
      </c>
      <c r="I4" s="2">
        <v>3</v>
      </c>
      <c r="J4" s="5">
        <v>46041</v>
      </c>
      <c r="K4" s="9">
        <v>1</v>
      </c>
    </row>
    <row r="5" spans="1:12" x14ac:dyDescent="0.3">
      <c r="A5" s="7" t="s">
        <v>8</v>
      </c>
      <c r="B5" s="2" t="s">
        <v>20</v>
      </c>
      <c r="C5" s="2" t="s">
        <v>21</v>
      </c>
      <c r="D5" s="2" t="s">
        <v>22</v>
      </c>
      <c r="E5" s="2" t="s">
        <v>12</v>
      </c>
      <c r="F5" s="2" t="s">
        <v>19</v>
      </c>
      <c r="G5" s="2">
        <v>22.31</v>
      </c>
      <c r="H5" s="2" t="str">
        <f>[1]!Table2[[#This Row],[Quarters(ROUNDUP)]]</f>
        <v>Q1</v>
      </c>
      <c r="I5" s="2">
        <v>2</v>
      </c>
      <c r="J5" s="5">
        <v>46041</v>
      </c>
      <c r="K5" s="9">
        <v>1</v>
      </c>
    </row>
    <row r="6" spans="1:12" x14ac:dyDescent="0.3">
      <c r="A6" s="7" t="s">
        <v>8</v>
      </c>
      <c r="B6" s="2" t="s">
        <v>20</v>
      </c>
      <c r="C6" s="2" t="s">
        <v>21</v>
      </c>
      <c r="D6" s="2" t="s">
        <v>22</v>
      </c>
      <c r="E6" s="2" t="s">
        <v>12</v>
      </c>
      <c r="F6" s="2" t="s">
        <v>17</v>
      </c>
      <c r="G6" s="2">
        <v>36.090000000000003</v>
      </c>
      <c r="H6" s="2" t="str">
        <f>[1]!Table2[[#This Row],[Quarters(ROUNDUP)]]</f>
        <v>Q1</v>
      </c>
      <c r="I6" s="2">
        <v>3</v>
      </c>
      <c r="J6" s="5">
        <v>46041</v>
      </c>
      <c r="K6" s="9">
        <v>1</v>
      </c>
    </row>
    <row r="7" spans="1:12" x14ac:dyDescent="0.3">
      <c r="A7" s="7" t="s">
        <v>27</v>
      </c>
      <c r="B7" s="2" t="s">
        <v>42</v>
      </c>
      <c r="C7" s="2" t="s">
        <v>56</v>
      </c>
      <c r="D7" s="2" t="s">
        <v>26</v>
      </c>
      <c r="E7" s="2" t="s">
        <v>12</v>
      </c>
      <c r="F7" s="2" t="s">
        <v>57</v>
      </c>
      <c r="G7" s="2">
        <v>77.84</v>
      </c>
      <c r="H7" s="2" t="str">
        <f>[1]!Table2[[#This Row],[Quarters(ROUNDUP)]]</f>
        <v>Q1</v>
      </c>
      <c r="I7" s="2">
        <v>4</v>
      </c>
      <c r="J7" s="5">
        <v>46041</v>
      </c>
      <c r="K7" s="9">
        <v>1</v>
      </c>
    </row>
    <row r="8" spans="1:12" x14ac:dyDescent="0.3">
      <c r="A8" s="7" t="s">
        <v>8</v>
      </c>
      <c r="B8" s="2" t="s">
        <v>58</v>
      </c>
      <c r="C8" s="2" t="s">
        <v>59</v>
      </c>
      <c r="D8" s="2" t="s">
        <v>26</v>
      </c>
      <c r="E8" s="2" t="s">
        <v>12</v>
      </c>
      <c r="F8" s="2" t="s">
        <v>19</v>
      </c>
      <c r="G8" s="2">
        <v>38.81</v>
      </c>
      <c r="H8" s="2" t="str">
        <f>[1]!Table2[[#This Row],[Quarters(ROUNDUP)]]</f>
        <v>Q1</v>
      </c>
      <c r="I8" s="2">
        <v>10</v>
      </c>
      <c r="J8" s="5">
        <v>46041</v>
      </c>
      <c r="K8" s="9">
        <v>1</v>
      </c>
    </row>
    <row r="9" spans="1:12" x14ac:dyDescent="0.3">
      <c r="A9" s="7" t="s">
        <v>8</v>
      </c>
      <c r="B9" s="2" t="s">
        <v>58</v>
      </c>
      <c r="C9" s="2" t="s">
        <v>59</v>
      </c>
      <c r="D9" s="2" t="s">
        <v>26</v>
      </c>
      <c r="E9" s="2" t="s">
        <v>12</v>
      </c>
      <c r="F9" s="2" t="s">
        <v>13</v>
      </c>
      <c r="G9" s="2">
        <v>67.28</v>
      </c>
      <c r="H9" s="2" t="str">
        <f>[1]!Table2[[#This Row],[Quarters(ROUNDUP)]]</f>
        <v>Q1</v>
      </c>
      <c r="I9" s="2">
        <v>4</v>
      </c>
      <c r="J9" s="5">
        <v>46041</v>
      </c>
      <c r="K9" s="9">
        <v>1</v>
      </c>
    </row>
    <row r="10" spans="1:12" x14ac:dyDescent="0.3">
      <c r="A10" s="7" t="s">
        <v>8</v>
      </c>
      <c r="B10" s="2" t="s">
        <v>58</v>
      </c>
      <c r="C10" s="2" t="s">
        <v>59</v>
      </c>
      <c r="D10" s="2" t="s">
        <v>26</v>
      </c>
      <c r="E10" s="2" t="s">
        <v>12</v>
      </c>
      <c r="F10" s="2" t="s">
        <v>48</v>
      </c>
      <c r="G10" s="2">
        <v>130.46</v>
      </c>
      <c r="H10" s="2" t="str">
        <f>[1]!Table2[[#This Row],[Quarters(ROUNDUP)]]</f>
        <v>Q1</v>
      </c>
      <c r="I10" s="2">
        <v>5</v>
      </c>
      <c r="J10" s="5">
        <v>46041</v>
      </c>
      <c r="K10" s="9">
        <v>1</v>
      </c>
    </row>
    <row r="11" spans="1:12" x14ac:dyDescent="0.3">
      <c r="A11" s="7"/>
      <c r="B11" s="2"/>
      <c r="C11" s="2"/>
      <c r="D11" s="2"/>
      <c r="E11" s="2"/>
      <c r="F11" s="2"/>
      <c r="G11" s="2"/>
      <c r="H11" s="2"/>
      <c r="I11" s="2"/>
      <c r="J11" s="5"/>
      <c r="K11" s="9"/>
    </row>
    <row r="12" spans="1:12" x14ac:dyDescent="0.3">
      <c r="A12" s="7" t="s">
        <v>8</v>
      </c>
      <c r="B12" s="2" t="s">
        <v>58</v>
      </c>
      <c r="C12" s="2" t="s">
        <v>59</v>
      </c>
      <c r="D12" s="2" t="s">
        <v>26</v>
      </c>
      <c r="E12" s="2" t="s">
        <v>33</v>
      </c>
      <c r="F12" s="2" t="s">
        <v>52</v>
      </c>
      <c r="G12" s="2">
        <v>217.76</v>
      </c>
      <c r="H12" s="2" t="str">
        <f>[1]!Table2[[#This Row],[Quarters(ROUNDUP)]]</f>
        <v>Q1</v>
      </c>
      <c r="I12" s="2">
        <v>5</v>
      </c>
      <c r="J12" s="5">
        <v>46041</v>
      </c>
      <c r="K12" s="9">
        <v>1</v>
      </c>
    </row>
    <row r="13" spans="1:12" x14ac:dyDescent="0.3">
      <c r="A13" s="7" t="s">
        <v>8</v>
      </c>
      <c r="B13" s="2" t="s">
        <v>60</v>
      </c>
      <c r="C13" s="2" t="s">
        <v>61</v>
      </c>
      <c r="D13" s="2" t="s">
        <v>30</v>
      </c>
      <c r="E13" s="2" t="s">
        <v>35</v>
      </c>
      <c r="F13" s="2" t="s">
        <v>36</v>
      </c>
      <c r="G13" s="2">
        <v>839.92</v>
      </c>
      <c r="H13" s="2" t="str">
        <f>[1]!Table2[[#This Row],[Quarters(ROUNDUP)]]</f>
        <v>Q1</v>
      </c>
      <c r="I13" s="2">
        <v>7</v>
      </c>
      <c r="J13" s="5">
        <v>46041</v>
      </c>
      <c r="K13" s="9">
        <v>1</v>
      </c>
    </row>
    <row r="14" spans="1:12" x14ac:dyDescent="0.3">
      <c r="A14" s="7" t="s">
        <v>8</v>
      </c>
      <c r="B14" s="2" t="s">
        <v>60</v>
      </c>
      <c r="C14" s="2" t="s">
        <v>61</v>
      </c>
      <c r="D14" s="2" t="s">
        <v>30</v>
      </c>
      <c r="E14" s="2" t="s">
        <v>12</v>
      </c>
      <c r="F14" s="2" t="s">
        <v>23</v>
      </c>
      <c r="G14" s="2">
        <v>27.55</v>
      </c>
      <c r="H14" s="2" t="str">
        <f>[1]!Table2[[#This Row],[Quarters(ROUNDUP)]]</f>
        <v>Q1</v>
      </c>
      <c r="I14" s="2">
        <v>7</v>
      </c>
      <c r="J14" s="5">
        <v>46041</v>
      </c>
      <c r="K14" s="9">
        <v>1</v>
      </c>
      <c r="L14" s="4"/>
    </row>
    <row r="15" spans="1:12" x14ac:dyDescent="0.3">
      <c r="A15" s="7" t="s">
        <v>8</v>
      </c>
      <c r="B15" s="2" t="s">
        <v>60</v>
      </c>
      <c r="C15" s="2" t="s">
        <v>61</v>
      </c>
      <c r="D15" s="2" t="s">
        <v>30</v>
      </c>
      <c r="E15" s="2" t="s">
        <v>33</v>
      </c>
      <c r="F15" s="2" t="s">
        <v>39</v>
      </c>
      <c r="G15" s="2">
        <v>46.32</v>
      </c>
      <c r="H15" s="2" t="str">
        <f>[1]!Table2[[#This Row],[Quarters(ROUNDUP)]]</f>
        <v>Q1</v>
      </c>
      <c r="I15" s="2">
        <v>4</v>
      </c>
      <c r="J15" s="5">
        <v>46041</v>
      </c>
      <c r="K15" s="9">
        <v>1</v>
      </c>
    </row>
    <row r="16" spans="1:12" ht="14.4" customHeight="1" x14ac:dyDescent="0.3">
      <c r="A16" s="7" t="s">
        <v>8</v>
      </c>
      <c r="B16" s="2" t="s">
        <v>60</v>
      </c>
      <c r="C16" s="2" t="s">
        <v>61</v>
      </c>
      <c r="D16" s="2" t="s">
        <v>30</v>
      </c>
      <c r="E16" s="2" t="s">
        <v>12</v>
      </c>
      <c r="F16" s="2" t="s">
        <v>23</v>
      </c>
      <c r="G16" s="2">
        <v>7.96</v>
      </c>
      <c r="H16" s="2" t="str">
        <f>[1]!Table2[[#This Row],[Quarters(ROUNDUP)]]</f>
        <v>Q1</v>
      </c>
      <c r="I16" s="2">
        <v>3</v>
      </c>
      <c r="J16" s="5">
        <v>46041</v>
      </c>
      <c r="K16" s="9">
        <v>1</v>
      </c>
    </row>
    <row r="17" spans="1:11" ht="14.4" customHeight="1" x14ac:dyDescent="0.3">
      <c r="A17" s="7" t="s">
        <v>8</v>
      </c>
      <c r="B17" s="2" t="s">
        <v>60</v>
      </c>
      <c r="C17" s="2" t="s">
        <v>61</v>
      </c>
      <c r="D17" s="2" t="s">
        <v>30</v>
      </c>
      <c r="E17" s="2" t="s">
        <v>12</v>
      </c>
      <c r="F17" s="2" t="s">
        <v>48</v>
      </c>
      <c r="G17" s="2">
        <v>28.01</v>
      </c>
      <c r="H17" s="2" t="str">
        <f>[1]!Table2[[#This Row],[Quarters(ROUNDUP)]]</f>
        <v>Q1</v>
      </c>
      <c r="I17" s="2">
        <v>3</v>
      </c>
      <c r="J17" s="5">
        <v>46041</v>
      </c>
      <c r="K17" s="9">
        <v>1</v>
      </c>
    </row>
    <row r="18" spans="1:11" ht="14.4" customHeight="1" x14ac:dyDescent="0.3">
      <c r="A18" s="7" t="s">
        <v>8</v>
      </c>
      <c r="B18" s="2" t="s">
        <v>60</v>
      </c>
      <c r="C18" s="2" t="s">
        <v>61</v>
      </c>
      <c r="D18" s="2" t="s">
        <v>30</v>
      </c>
      <c r="E18" s="2" t="s">
        <v>33</v>
      </c>
      <c r="F18" s="2" t="s">
        <v>34</v>
      </c>
      <c r="G18" s="2">
        <v>1281.53</v>
      </c>
      <c r="H18" s="2" t="str">
        <f>[1]!Table2[[#This Row],[Quarters(ROUNDUP)]]</f>
        <v>Q1</v>
      </c>
      <c r="I18" s="2">
        <v>3</v>
      </c>
      <c r="J18" s="5">
        <v>46041</v>
      </c>
      <c r="K18" s="9">
        <v>1</v>
      </c>
    </row>
    <row r="19" spans="1:11" x14ac:dyDescent="0.3">
      <c r="A19" s="7" t="s">
        <v>8</v>
      </c>
      <c r="B19" s="2" t="s">
        <v>24</v>
      </c>
      <c r="C19" s="2" t="s">
        <v>25</v>
      </c>
      <c r="D19" s="2" t="s">
        <v>26</v>
      </c>
      <c r="E19" s="2" t="s">
        <v>12</v>
      </c>
      <c r="F19" s="2" t="s">
        <v>13</v>
      </c>
      <c r="G19" s="2">
        <v>23.23</v>
      </c>
      <c r="H19" s="2" t="str">
        <f>[1]!Table2[[#This Row],[Quarters(ROUNDUP)]]</f>
        <v>Q1</v>
      </c>
      <c r="I19" s="2">
        <v>2</v>
      </c>
      <c r="J19" s="5">
        <v>46041</v>
      </c>
      <c r="K19" s="9">
        <v>1</v>
      </c>
    </row>
    <row r="20" spans="1:11" x14ac:dyDescent="0.3">
      <c r="A20" s="7"/>
      <c r="B20" s="2"/>
      <c r="C20" s="2"/>
      <c r="D20" s="2"/>
      <c r="E20" s="2"/>
      <c r="F20" s="2"/>
      <c r="G20" s="2"/>
      <c r="H20" s="2"/>
      <c r="I20" s="2"/>
      <c r="J20" s="5"/>
      <c r="K20" s="9"/>
    </row>
    <row r="21" spans="1:11" x14ac:dyDescent="0.3">
      <c r="A21" s="7"/>
      <c r="B21" s="2"/>
      <c r="C21" s="2"/>
      <c r="D21" s="2"/>
      <c r="E21" s="2"/>
      <c r="F21" s="2"/>
      <c r="G21" s="2"/>
      <c r="H21" s="2"/>
      <c r="I21" s="2"/>
      <c r="J21" s="5"/>
      <c r="K21" s="9"/>
    </row>
    <row r="22" spans="1:11" x14ac:dyDescent="0.3">
      <c r="A22" s="7" t="s">
        <v>8</v>
      </c>
      <c r="B22" s="2" t="s">
        <v>24</v>
      </c>
      <c r="C22" s="2" t="s">
        <v>25</v>
      </c>
      <c r="D22" s="2" t="s">
        <v>26</v>
      </c>
      <c r="E22" s="2" t="s">
        <v>33</v>
      </c>
      <c r="F22" s="2" t="s">
        <v>39</v>
      </c>
      <c r="G22" s="2">
        <v>23.16</v>
      </c>
      <c r="H22" s="2" t="str">
        <f>[1]!Table2[[#This Row],[Quarters(ROUNDUP)]]</f>
        <v>Q1</v>
      </c>
      <c r="I22" s="2">
        <v>2</v>
      </c>
      <c r="J22" s="5">
        <v>46041</v>
      </c>
      <c r="K22" s="9">
        <v>1</v>
      </c>
    </row>
    <row r="23" spans="1:11" x14ac:dyDescent="0.3">
      <c r="A23" s="7" t="s">
        <v>8</v>
      </c>
      <c r="B23" s="2" t="s">
        <v>62</v>
      </c>
      <c r="C23" s="2" t="s">
        <v>63</v>
      </c>
      <c r="D23" s="2" t="s">
        <v>11</v>
      </c>
      <c r="E23" s="2" t="s">
        <v>12</v>
      </c>
      <c r="F23" s="2" t="s">
        <v>18</v>
      </c>
      <c r="G23" s="2">
        <v>16.78</v>
      </c>
      <c r="H23" s="2" t="str">
        <f>[1]!Table2[[#This Row],[Quarters(ROUNDUP)]]</f>
        <v>Q1</v>
      </c>
      <c r="I23" s="2">
        <v>1</v>
      </c>
      <c r="J23" s="5">
        <v>46041</v>
      </c>
      <c r="K23" s="9">
        <v>1</v>
      </c>
    </row>
    <row r="24" spans="1:11" x14ac:dyDescent="0.3">
      <c r="A24" s="7" t="s">
        <v>8</v>
      </c>
      <c r="B24" s="2" t="s">
        <v>62</v>
      </c>
      <c r="C24" s="2" t="s">
        <v>63</v>
      </c>
      <c r="D24" s="2" t="s">
        <v>11</v>
      </c>
      <c r="E24" s="2" t="s">
        <v>33</v>
      </c>
      <c r="F24" s="2" t="s">
        <v>39</v>
      </c>
      <c r="G24" s="2">
        <v>327.52999999999997</v>
      </c>
      <c r="H24" s="2" t="str">
        <f>[1]!Table2[[#This Row],[Quarters(ROUNDUP)]]</f>
        <v>Q1</v>
      </c>
      <c r="I24" s="2">
        <v>3</v>
      </c>
      <c r="J24" s="5">
        <v>46041</v>
      </c>
      <c r="K24" s="9">
        <v>1</v>
      </c>
    </row>
    <row r="25" spans="1:11" x14ac:dyDescent="0.3">
      <c r="A25" s="7" t="s">
        <v>8</v>
      </c>
      <c r="B25" s="2" t="s">
        <v>62</v>
      </c>
      <c r="C25" s="2" t="s">
        <v>63</v>
      </c>
      <c r="D25" s="2" t="s">
        <v>11</v>
      </c>
      <c r="E25" s="2" t="s">
        <v>12</v>
      </c>
      <c r="F25" s="2" t="s">
        <v>19</v>
      </c>
      <c r="G25" s="2">
        <v>22.86</v>
      </c>
      <c r="H25" s="2" t="str">
        <f>[1]!Table2[[#This Row],[Quarters(ROUNDUP)]]</f>
        <v>Q1</v>
      </c>
      <c r="I25" s="2">
        <v>5</v>
      </c>
      <c r="J25" s="5">
        <v>46041</v>
      </c>
      <c r="K25" s="9">
        <v>1</v>
      </c>
    </row>
    <row r="26" spans="1:11" x14ac:dyDescent="0.3">
      <c r="A26" s="7" t="s">
        <v>8</v>
      </c>
      <c r="B26" s="2" t="s">
        <v>62</v>
      </c>
      <c r="C26" s="2" t="s">
        <v>63</v>
      </c>
      <c r="D26" s="2" t="s">
        <v>11</v>
      </c>
      <c r="E26" s="2" t="s">
        <v>12</v>
      </c>
      <c r="F26" s="2" t="s">
        <v>57</v>
      </c>
      <c r="G26" s="2">
        <v>297.26</v>
      </c>
      <c r="H26" s="2" t="str">
        <f>[1]!Table2[[#This Row],[Quarters(ROUNDUP)]]</f>
        <v>Q1</v>
      </c>
      <c r="I26" s="2">
        <v>4</v>
      </c>
      <c r="J26" s="5">
        <v>46041</v>
      </c>
      <c r="K26" s="9">
        <v>1</v>
      </c>
    </row>
    <row r="27" spans="1:11" x14ac:dyDescent="0.3">
      <c r="A27" s="7" t="s">
        <v>8</v>
      </c>
      <c r="B27" s="2" t="s">
        <v>44</v>
      </c>
      <c r="C27" s="2" t="s">
        <v>45</v>
      </c>
      <c r="D27" s="2" t="s">
        <v>64</v>
      </c>
      <c r="E27" s="2" t="s">
        <v>33</v>
      </c>
      <c r="F27" s="2" t="s">
        <v>39</v>
      </c>
      <c r="G27" s="2">
        <v>11.93</v>
      </c>
      <c r="H27" s="2" t="str">
        <f>[1]!Table2[[#This Row],[Quarters(ROUNDUP)]]</f>
        <v>Q1</v>
      </c>
      <c r="I27" s="2">
        <v>2</v>
      </c>
      <c r="J27" s="5">
        <v>46043</v>
      </c>
      <c r="K27" s="9">
        <v>1</v>
      </c>
    </row>
    <row r="28" spans="1:11" x14ac:dyDescent="0.3">
      <c r="A28" s="7" t="s">
        <v>27</v>
      </c>
      <c r="B28" s="2" t="s">
        <v>46</v>
      </c>
      <c r="C28" s="2" t="s">
        <v>47</v>
      </c>
      <c r="D28" s="2" t="s">
        <v>30</v>
      </c>
      <c r="E28" s="2" t="s">
        <v>12</v>
      </c>
      <c r="F28" s="2" t="s">
        <v>48</v>
      </c>
      <c r="G28" s="2">
        <v>13.63</v>
      </c>
      <c r="H28" s="2" t="str">
        <f>[1]!Table2[[#This Row],[Quarters(ROUNDUP)]]</f>
        <v>Q1</v>
      </c>
      <c r="I28" s="2">
        <v>2</v>
      </c>
      <c r="J28" s="5">
        <v>46043</v>
      </c>
      <c r="K28" s="9">
        <v>1</v>
      </c>
    </row>
    <row r="29" spans="1:11" x14ac:dyDescent="0.3">
      <c r="A29" s="7" t="s">
        <v>27</v>
      </c>
      <c r="B29" s="2" t="s">
        <v>46</v>
      </c>
      <c r="C29" s="2" t="s">
        <v>47</v>
      </c>
      <c r="D29" s="2" t="s">
        <v>30</v>
      </c>
      <c r="E29" s="2" t="s">
        <v>12</v>
      </c>
      <c r="F29" s="2" t="s">
        <v>48</v>
      </c>
      <c r="G29" s="2">
        <v>61.13</v>
      </c>
      <c r="H29" s="2" t="str">
        <f>[1]!Table2[[#This Row],[Quarters(ROUNDUP)]]</f>
        <v>Q1</v>
      </c>
      <c r="I29" s="2">
        <v>3</v>
      </c>
      <c r="J29" s="5">
        <v>46043</v>
      </c>
      <c r="K29" s="9">
        <v>1</v>
      </c>
    </row>
    <row r="30" spans="1:11" x14ac:dyDescent="0.3">
      <c r="A30" s="7" t="s">
        <v>27</v>
      </c>
      <c r="B30" s="2" t="s">
        <v>46</v>
      </c>
      <c r="C30" s="2" t="s">
        <v>47</v>
      </c>
      <c r="D30" s="2" t="s">
        <v>30</v>
      </c>
      <c r="E30" s="2" t="s">
        <v>35</v>
      </c>
      <c r="F30" s="2" t="s">
        <v>41</v>
      </c>
      <c r="G30" s="2">
        <v>776.09</v>
      </c>
      <c r="H30" s="2" t="str">
        <f>[1]!Table2[[#This Row],[Quarters(ROUNDUP)]]</f>
        <v>Q1</v>
      </c>
      <c r="I30" s="2">
        <v>6</v>
      </c>
      <c r="J30" s="5">
        <v>46043</v>
      </c>
      <c r="K30" s="9">
        <v>1</v>
      </c>
    </row>
    <row r="31" spans="1:11" x14ac:dyDescent="0.3">
      <c r="A31" s="7" t="s">
        <v>27</v>
      </c>
      <c r="B31" s="2" t="s">
        <v>46</v>
      </c>
      <c r="C31" s="2" t="s">
        <v>47</v>
      </c>
      <c r="D31" s="2" t="s">
        <v>30</v>
      </c>
      <c r="E31" s="2" t="s">
        <v>12</v>
      </c>
      <c r="F31" s="2" t="s">
        <v>19</v>
      </c>
      <c r="G31" s="2">
        <v>6.77</v>
      </c>
      <c r="H31" s="2" t="str">
        <f>[1]!Table2[[#This Row],[Quarters(ROUNDUP)]]</f>
        <v>Q1</v>
      </c>
      <c r="I31" s="2">
        <v>3</v>
      </c>
      <c r="J31" s="5">
        <v>46043</v>
      </c>
      <c r="K31" s="9">
        <v>1</v>
      </c>
    </row>
    <row r="32" spans="1:11" x14ac:dyDescent="0.3">
      <c r="A32" s="7" t="s">
        <v>27</v>
      </c>
      <c r="B32" s="2" t="s">
        <v>46</v>
      </c>
      <c r="C32" s="2" t="s">
        <v>47</v>
      </c>
      <c r="D32" s="2" t="s">
        <v>30</v>
      </c>
      <c r="E32" s="2" t="s">
        <v>12</v>
      </c>
      <c r="F32" s="2" t="s">
        <v>18</v>
      </c>
      <c r="G32" s="2">
        <v>687.1</v>
      </c>
      <c r="H32" s="2" t="str">
        <f>[1]!Table2[[#This Row],[Quarters(ROUNDUP)]]</f>
        <v>Q1</v>
      </c>
      <c r="I32" s="2">
        <v>6</v>
      </c>
      <c r="J32" s="5">
        <v>46043</v>
      </c>
      <c r="K32" s="9">
        <v>1</v>
      </c>
    </row>
    <row r="33" spans="1:11" x14ac:dyDescent="0.3">
      <c r="A33" s="7" t="s">
        <v>8</v>
      </c>
      <c r="B33" s="2" t="s">
        <v>49</v>
      </c>
      <c r="C33" s="2" t="s">
        <v>50</v>
      </c>
      <c r="D33" s="2" t="s">
        <v>30</v>
      </c>
      <c r="E33" s="2" t="s">
        <v>33</v>
      </c>
      <c r="F33" s="2" t="s">
        <v>34</v>
      </c>
      <c r="G33" s="2">
        <v>655.13</v>
      </c>
      <c r="H33" s="2" t="str">
        <f>[1]!Table2[[#This Row],[Quarters(ROUNDUP)]]</f>
        <v>Q1</v>
      </c>
      <c r="I33" s="2">
        <v>6</v>
      </c>
      <c r="J33" s="5">
        <v>46043</v>
      </c>
      <c r="K33" s="9">
        <v>1</v>
      </c>
    </row>
    <row r="34" spans="1:11" x14ac:dyDescent="0.3">
      <c r="A34" s="7" t="s">
        <v>8</v>
      </c>
      <c r="B34" s="2" t="s">
        <v>51</v>
      </c>
      <c r="C34" s="2" t="s">
        <v>25</v>
      </c>
      <c r="D34" s="2" t="s">
        <v>26</v>
      </c>
      <c r="E34" s="2" t="s">
        <v>12</v>
      </c>
      <c r="F34" s="2" t="s">
        <v>18</v>
      </c>
      <c r="G34" s="2">
        <v>1591.02</v>
      </c>
      <c r="H34" s="2" t="str">
        <f>[1]!Table2[[#This Row],[Quarters(ROUNDUP)]]</f>
        <v>Q1</v>
      </c>
      <c r="I34" s="2">
        <v>5</v>
      </c>
      <c r="J34" s="5">
        <v>46043</v>
      </c>
      <c r="K34" s="9">
        <v>1</v>
      </c>
    </row>
    <row r="35" spans="1:11" x14ac:dyDescent="0.3">
      <c r="A35" s="7" t="s">
        <v>8</v>
      </c>
      <c r="B35" s="2" t="s">
        <v>51</v>
      </c>
      <c r="C35" s="2" t="s">
        <v>25</v>
      </c>
      <c r="D35" s="2" t="s">
        <v>26</v>
      </c>
      <c r="E35" s="2" t="s">
        <v>33</v>
      </c>
      <c r="F35" s="2" t="s">
        <v>52</v>
      </c>
      <c r="G35" s="2">
        <v>400.8</v>
      </c>
      <c r="H35" s="2" t="str">
        <f>[1]!Table2[[#This Row],[Quarters(ROUNDUP)]]</f>
        <v>Q1</v>
      </c>
      <c r="I35" s="2">
        <v>3</v>
      </c>
      <c r="J35" s="5">
        <v>46043</v>
      </c>
      <c r="K35" s="9">
        <v>1</v>
      </c>
    </row>
    <row r="36" spans="1:11" x14ac:dyDescent="0.3">
      <c r="A36" s="7" t="s">
        <v>8</v>
      </c>
      <c r="B36" s="2" t="s">
        <v>51</v>
      </c>
      <c r="C36" s="2" t="s">
        <v>25</v>
      </c>
      <c r="D36" s="2" t="s">
        <v>26</v>
      </c>
      <c r="E36" s="2" t="s">
        <v>12</v>
      </c>
      <c r="F36" s="2" t="s">
        <v>23</v>
      </c>
      <c r="G36" s="2">
        <v>23.88</v>
      </c>
      <c r="H36" s="2" t="str">
        <f>[1]!Table2[[#This Row],[Quarters(ROUNDUP)]]</f>
        <v>Q1</v>
      </c>
      <c r="I36" s="2">
        <v>5</v>
      </c>
      <c r="J36" s="5">
        <v>46043</v>
      </c>
      <c r="K36" s="9">
        <v>1</v>
      </c>
    </row>
    <row r="37" spans="1:11" x14ac:dyDescent="0.3">
      <c r="A37" s="7" t="s">
        <v>8</v>
      </c>
      <c r="B37" s="2" t="s">
        <v>53</v>
      </c>
      <c r="C37" s="2" t="s">
        <v>54</v>
      </c>
      <c r="D37" s="2" t="s">
        <v>22</v>
      </c>
      <c r="E37" s="2" t="s">
        <v>12</v>
      </c>
      <c r="F37" s="2" t="s">
        <v>13</v>
      </c>
      <c r="G37" s="2">
        <v>44.89</v>
      </c>
      <c r="H37" s="2" t="str">
        <f>[1]!Table2[[#This Row],[Quarters(ROUNDUP)]]</f>
        <v>Q1</v>
      </c>
      <c r="I37" s="2">
        <v>7</v>
      </c>
      <c r="J37" s="5">
        <v>46043</v>
      </c>
      <c r="K37" s="9">
        <v>0</v>
      </c>
    </row>
    <row r="38" spans="1:11" x14ac:dyDescent="0.3">
      <c r="A38" s="7" t="s">
        <v>8</v>
      </c>
      <c r="B38" s="2" t="s">
        <v>53</v>
      </c>
      <c r="C38" s="2" t="s">
        <v>54</v>
      </c>
      <c r="D38" s="2" t="s">
        <v>22</v>
      </c>
      <c r="E38" s="2" t="s">
        <v>12</v>
      </c>
      <c r="F38" s="2" t="s">
        <v>19</v>
      </c>
      <c r="G38" s="2">
        <v>4.13</v>
      </c>
      <c r="H38" s="2" t="str">
        <f>[1]!Table2[[#This Row],[Quarters(ROUNDUP)]]</f>
        <v>Q1</v>
      </c>
      <c r="I38" s="2">
        <v>2</v>
      </c>
      <c r="J38" s="5">
        <v>46043</v>
      </c>
      <c r="K38" s="9">
        <v>0</v>
      </c>
    </row>
    <row r="39" spans="1:11" x14ac:dyDescent="0.3">
      <c r="A39" s="7" t="s">
        <v>27</v>
      </c>
      <c r="B39" s="2" t="s">
        <v>20</v>
      </c>
      <c r="C39" s="2" t="s">
        <v>21</v>
      </c>
      <c r="D39" s="2" t="s">
        <v>22</v>
      </c>
      <c r="E39" s="2" t="s">
        <v>33</v>
      </c>
      <c r="F39" s="2" t="s">
        <v>52</v>
      </c>
      <c r="G39" s="2">
        <v>74.349999999999994</v>
      </c>
      <c r="H39" s="2" t="str">
        <f>[1]!Table2[[#This Row],[Quarters(ROUNDUP)]]</f>
        <v>Q1</v>
      </c>
      <c r="I39" s="2">
        <v>4</v>
      </c>
      <c r="J39" s="5">
        <v>46043</v>
      </c>
      <c r="K39" s="9">
        <v>0</v>
      </c>
    </row>
    <row r="40" spans="1:11" x14ac:dyDescent="0.3">
      <c r="A40" s="7" t="s">
        <v>14</v>
      </c>
      <c r="B40" s="2" t="s">
        <v>31</v>
      </c>
      <c r="C40" s="2" t="s">
        <v>32</v>
      </c>
      <c r="D40" s="2" t="s">
        <v>30</v>
      </c>
      <c r="E40" s="2" t="s">
        <v>35</v>
      </c>
      <c r="F40" s="2" t="s">
        <v>36</v>
      </c>
      <c r="G40" s="2">
        <v>907.15</v>
      </c>
      <c r="H40" s="2" t="str">
        <f>[1]!Table2[[#This Row],[Quarters(ROUNDUP)]]</f>
        <v>Q1</v>
      </c>
      <c r="I40" s="2">
        <v>4</v>
      </c>
      <c r="J40" s="5">
        <v>46045</v>
      </c>
      <c r="K40" s="9">
        <v>0</v>
      </c>
    </row>
    <row r="41" spans="1:11" x14ac:dyDescent="0.3">
      <c r="A41" s="7" t="s">
        <v>14</v>
      </c>
      <c r="B41" s="2" t="s">
        <v>31</v>
      </c>
      <c r="C41" s="2" t="s">
        <v>32</v>
      </c>
      <c r="D41" s="2" t="s">
        <v>30</v>
      </c>
      <c r="E41" s="2" t="s">
        <v>12</v>
      </c>
      <c r="F41" s="2" t="s">
        <v>37</v>
      </c>
      <c r="G41" s="2">
        <v>37.340000000000003</v>
      </c>
      <c r="H41" s="2" t="str">
        <f>[1]!Table2[[#This Row],[Quarters(ROUNDUP)]]</f>
        <v>Q1</v>
      </c>
      <c r="I41" s="2">
        <v>4</v>
      </c>
      <c r="J41" s="5">
        <v>46045</v>
      </c>
      <c r="K41" s="9">
        <v>0</v>
      </c>
    </row>
    <row r="42" spans="1:11" x14ac:dyDescent="0.3">
      <c r="A42" s="7"/>
      <c r="B42" s="2"/>
      <c r="C42" s="2"/>
      <c r="D42" s="2"/>
      <c r="E42" s="2"/>
      <c r="F42" s="2"/>
      <c r="G42" s="2"/>
      <c r="H42" s="2"/>
      <c r="I42" s="2"/>
      <c r="J42" s="5">
        <v>46045</v>
      </c>
      <c r="K42" s="9">
        <v>0</v>
      </c>
    </row>
    <row r="43" spans="1:11" x14ac:dyDescent="0.3">
      <c r="A43" s="7"/>
      <c r="B43" s="2"/>
      <c r="C43" s="2"/>
      <c r="D43" s="2"/>
      <c r="E43" s="2"/>
      <c r="F43" s="2"/>
      <c r="G43" s="2"/>
      <c r="H43" s="2"/>
      <c r="I43" s="2"/>
      <c r="J43" s="5">
        <v>46045</v>
      </c>
      <c r="K43" s="9">
        <v>0</v>
      </c>
    </row>
    <row r="44" spans="1:11" x14ac:dyDescent="0.3">
      <c r="A44" s="7" t="s">
        <v>14</v>
      </c>
      <c r="B44" s="2" t="s">
        <v>31</v>
      </c>
      <c r="C44" s="2" t="s">
        <v>32</v>
      </c>
      <c r="D44" s="2" t="s">
        <v>65</v>
      </c>
      <c r="E44" s="2" t="s">
        <v>12</v>
      </c>
      <c r="F44" s="2" t="s">
        <v>13</v>
      </c>
      <c r="G44" s="2">
        <v>7.85</v>
      </c>
      <c r="H44" s="2" t="str">
        <f>[1]!Table2[[#This Row],[Quarters(ROUNDUP)]]</f>
        <v>Q1</v>
      </c>
      <c r="I44" s="2">
        <v>1</v>
      </c>
      <c r="J44" s="5">
        <v>46045</v>
      </c>
      <c r="K44" s="9">
        <v>0</v>
      </c>
    </row>
    <row r="45" spans="1:11" x14ac:dyDescent="0.3">
      <c r="A45" s="7" t="s">
        <v>8</v>
      </c>
      <c r="B45" s="2" t="s">
        <v>38</v>
      </c>
      <c r="C45" s="2" t="s">
        <v>10</v>
      </c>
      <c r="D45" s="2" t="s">
        <v>30</v>
      </c>
      <c r="E45" s="2" t="s">
        <v>33</v>
      </c>
      <c r="F45" s="2" t="s">
        <v>39</v>
      </c>
      <c r="G45" s="2">
        <v>92.07</v>
      </c>
      <c r="H45" s="2" t="str">
        <f>[1]!Table2[[#This Row],[Quarters(ROUNDUP)]]</f>
        <v>Q1</v>
      </c>
      <c r="I45" s="2">
        <v>3</v>
      </c>
      <c r="J45" s="5">
        <v>46045</v>
      </c>
      <c r="K45" s="9">
        <v>0</v>
      </c>
    </row>
    <row r="46" spans="1:11" x14ac:dyDescent="0.3">
      <c r="A46" s="7" t="s">
        <v>8</v>
      </c>
      <c r="B46" s="2" t="s">
        <v>38</v>
      </c>
      <c r="C46" s="2" t="s">
        <v>10</v>
      </c>
      <c r="D46" s="2" t="s">
        <v>11</v>
      </c>
      <c r="E46" s="2" t="s">
        <v>12</v>
      </c>
      <c r="F46" s="2" t="s">
        <v>19</v>
      </c>
      <c r="G46" s="2">
        <v>12.52</v>
      </c>
      <c r="H46" s="2" t="str">
        <f>[1]!Table2[[#This Row],[Quarters(ROUNDUP)]]</f>
        <v>Q1</v>
      </c>
      <c r="I46" s="2">
        <v>7</v>
      </c>
      <c r="J46" s="5">
        <v>46045</v>
      </c>
      <c r="K46" s="9">
        <v>0</v>
      </c>
    </row>
    <row r="47" spans="1:11" x14ac:dyDescent="0.3">
      <c r="A47" s="7" t="s">
        <v>8</v>
      </c>
      <c r="B47" s="2" t="s">
        <v>40</v>
      </c>
      <c r="C47" s="2" t="s">
        <v>10</v>
      </c>
      <c r="D47" s="2" t="s">
        <v>11</v>
      </c>
      <c r="E47" s="2" t="s">
        <v>12</v>
      </c>
      <c r="F47" s="2" t="s">
        <v>23</v>
      </c>
      <c r="G47" s="2">
        <v>11.21</v>
      </c>
      <c r="H47" s="2" t="str">
        <f>[1]!Table2[[#This Row],[Quarters(ROUNDUP)]]</f>
        <v>Q1</v>
      </c>
      <c r="I47" s="2">
        <v>2</v>
      </c>
      <c r="J47" s="5">
        <v>46045</v>
      </c>
      <c r="K47" s="9">
        <v>1</v>
      </c>
    </row>
    <row r="48" spans="1:11" x14ac:dyDescent="0.3">
      <c r="A48" s="7" t="s">
        <v>8</v>
      </c>
      <c r="B48" s="2" t="s">
        <v>40</v>
      </c>
      <c r="C48" s="2" t="s">
        <v>10</v>
      </c>
      <c r="D48" s="2" t="s">
        <v>66</v>
      </c>
      <c r="E48" s="2" t="s">
        <v>35</v>
      </c>
      <c r="F48" s="2" t="s">
        <v>41</v>
      </c>
      <c r="G48" s="2">
        <v>37.44</v>
      </c>
      <c r="H48" s="2" t="str">
        <f>[1]!Table2[[#This Row],[Quarters(ROUNDUP)]]</f>
        <v>Q1</v>
      </c>
      <c r="I48" s="2">
        <v>3</v>
      </c>
      <c r="J48" s="5">
        <v>46045</v>
      </c>
      <c r="K48" s="9">
        <v>1</v>
      </c>
    </row>
    <row r="49" spans="1:11" x14ac:dyDescent="0.3">
      <c r="A49" s="7" t="s">
        <v>27</v>
      </c>
      <c r="B49" s="2" t="s">
        <v>42</v>
      </c>
      <c r="C49" s="2" t="s">
        <v>43</v>
      </c>
      <c r="D49" s="2" t="s">
        <v>30</v>
      </c>
      <c r="E49" s="2" t="s">
        <v>12</v>
      </c>
      <c r="F49" s="2" t="s">
        <v>17</v>
      </c>
      <c r="G49" s="2">
        <v>3.47</v>
      </c>
      <c r="H49" s="2" t="str">
        <f>[1]!Table2[[#This Row],[Quarters(ROUNDUP)]]</f>
        <v>Q1</v>
      </c>
      <c r="I49" s="2">
        <v>1</v>
      </c>
      <c r="J49" s="5">
        <v>46045</v>
      </c>
      <c r="K49" s="9">
        <v>1</v>
      </c>
    </row>
    <row r="50" spans="1:11" x14ac:dyDescent="0.3">
      <c r="A50" s="7" t="s">
        <v>27</v>
      </c>
      <c r="B50" s="2" t="s">
        <v>42</v>
      </c>
      <c r="C50" s="2" t="s">
        <v>43</v>
      </c>
      <c r="D50" s="2" t="s">
        <v>30</v>
      </c>
      <c r="E50" s="2" t="s">
        <v>33</v>
      </c>
      <c r="F50" s="2" t="s">
        <v>39</v>
      </c>
      <c r="G50" s="2">
        <v>62.33</v>
      </c>
      <c r="H50" s="2" t="str">
        <f>[1]!Table2[[#This Row],[Quarters(ROUNDUP)]]</f>
        <v>Q1</v>
      </c>
      <c r="I50" s="2">
        <v>1</v>
      </c>
      <c r="J50" s="5">
        <v>46045</v>
      </c>
      <c r="K50" s="9">
        <v>1</v>
      </c>
    </row>
    <row r="51" spans="1:11" x14ac:dyDescent="0.3">
      <c r="A51" s="7" t="s">
        <v>8</v>
      </c>
      <c r="B51" s="2" t="s">
        <v>9</v>
      </c>
      <c r="C51" s="2" t="s">
        <v>10</v>
      </c>
      <c r="D51" s="2" t="s">
        <v>11</v>
      </c>
      <c r="E51" s="2" t="s">
        <v>12</v>
      </c>
      <c r="F51" s="2" t="s">
        <v>13</v>
      </c>
      <c r="G51" s="2">
        <v>19.739999999999998</v>
      </c>
      <c r="H51" s="2" t="str">
        <f>[1]!Table2[[#This Row],[Quarters(ROUNDUP)]]</f>
        <v>Q1</v>
      </c>
      <c r="I51" s="2">
        <v>5</v>
      </c>
      <c r="J51" s="5">
        <v>46052</v>
      </c>
      <c r="K51" s="9">
        <v>1</v>
      </c>
    </row>
    <row r="52" spans="1:11" x14ac:dyDescent="0.3">
      <c r="A52" s="7" t="s">
        <v>14</v>
      </c>
      <c r="B52" s="2" t="s">
        <v>15</v>
      </c>
      <c r="C52" s="2" t="s">
        <v>16</v>
      </c>
      <c r="D52" s="2" t="s">
        <v>11</v>
      </c>
      <c r="E52" s="2" t="s">
        <v>12</v>
      </c>
      <c r="F52" s="2" t="s">
        <v>17</v>
      </c>
      <c r="G52" s="2">
        <v>14.14</v>
      </c>
      <c r="H52" s="2" t="str">
        <f>[1]!Table2[[#This Row],[Quarters(ROUNDUP)]]</f>
        <v>Q1</v>
      </c>
      <c r="I52" s="2">
        <v>3</v>
      </c>
      <c r="J52" s="5">
        <v>46052</v>
      </c>
      <c r="K52" s="9">
        <v>1</v>
      </c>
    </row>
    <row r="53" spans="1:11" x14ac:dyDescent="0.3">
      <c r="A53" s="7" t="s">
        <v>14</v>
      </c>
      <c r="B53" s="2" t="s">
        <v>15</v>
      </c>
      <c r="C53" s="2" t="s">
        <v>16</v>
      </c>
      <c r="D53" s="2" t="s">
        <v>64</v>
      </c>
      <c r="E53" s="2" t="s">
        <v>12</v>
      </c>
      <c r="F53" s="2" t="s">
        <v>18</v>
      </c>
      <c r="G53" s="2">
        <v>327.27999999999997</v>
      </c>
      <c r="H53" s="2" t="str">
        <f>[1]!Table2[[#This Row],[Quarters(ROUNDUP)]]</f>
        <v>Q1</v>
      </c>
      <c r="I53" s="2">
        <v>3</v>
      </c>
      <c r="J53" s="5">
        <v>46052</v>
      </c>
      <c r="K53" s="9">
        <v>1</v>
      </c>
    </row>
    <row r="54" spans="1:11" x14ac:dyDescent="0.3">
      <c r="A54" s="7" t="s">
        <v>14</v>
      </c>
      <c r="B54" s="2" t="s">
        <v>15</v>
      </c>
      <c r="C54" s="2" t="s">
        <v>16</v>
      </c>
      <c r="D54" s="2" t="s">
        <v>11</v>
      </c>
      <c r="E54" s="2" t="s">
        <v>12</v>
      </c>
      <c r="F54" s="2" t="s">
        <v>19</v>
      </c>
      <c r="G54" s="2">
        <v>4.25</v>
      </c>
      <c r="H54" s="2" t="str">
        <f>[1]!Table2[[#This Row],[Quarters(ROUNDUP)]]</f>
        <v>Q1</v>
      </c>
      <c r="I54" s="2">
        <v>2</v>
      </c>
      <c r="J54" s="5">
        <v>46052</v>
      </c>
      <c r="K54" s="9">
        <v>1</v>
      </c>
    </row>
    <row r="55" spans="1:11" x14ac:dyDescent="0.3">
      <c r="A55" s="7" t="s">
        <v>8</v>
      </c>
      <c r="B55" s="2" t="s">
        <v>20</v>
      </c>
      <c r="C55" s="2" t="s">
        <v>21</v>
      </c>
      <c r="D55" s="2" t="s">
        <v>22</v>
      </c>
      <c r="E55" s="2" t="s">
        <v>12</v>
      </c>
      <c r="F55" s="2" t="s">
        <v>23</v>
      </c>
      <c r="G55" s="2">
        <v>23.44</v>
      </c>
      <c r="H55" s="2" t="str">
        <f>[1]!Table2[[#This Row],[Quarters(ROUNDUP)]]</f>
        <v>Q1</v>
      </c>
      <c r="I55" s="2">
        <v>3</v>
      </c>
      <c r="J55" s="5">
        <v>46052</v>
      </c>
      <c r="K55" s="9">
        <v>1</v>
      </c>
    </row>
    <row r="56" spans="1:11" x14ac:dyDescent="0.3">
      <c r="A56" s="7" t="s">
        <v>8</v>
      </c>
      <c r="B56" s="2" t="s">
        <v>24</v>
      </c>
      <c r="C56" s="2" t="s">
        <v>25</v>
      </c>
      <c r="D56" s="2" t="s">
        <v>26</v>
      </c>
      <c r="E56" s="2" t="s">
        <v>12</v>
      </c>
      <c r="F56" s="2" t="s">
        <v>13</v>
      </c>
      <c r="G56" s="2">
        <v>23.33</v>
      </c>
      <c r="H56" s="2" t="str">
        <f>[1]!Table2[[#This Row],[Quarters(ROUNDUP)]]</f>
        <v>Q1</v>
      </c>
      <c r="I56" s="2">
        <v>3</v>
      </c>
      <c r="J56" s="5">
        <v>46052</v>
      </c>
      <c r="K56" s="9">
        <v>1</v>
      </c>
    </row>
    <row r="57" spans="1:11" x14ac:dyDescent="0.3">
      <c r="A57" s="7"/>
      <c r="B57" s="2"/>
      <c r="C57" s="2"/>
      <c r="D57" s="2"/>
      <c r="E57" s="2"/>
      <c r="F57" s="2"/>
      <c r="G57" s="2"/>
      <c r="H57" s="2"/>
      <c r="I57" s="2"/>
      <c r="J57" s="5">
        <v>46052</v>
      </c>
      <c r="K57" s="9">
        <v>1</v>
      </c>
    </row>
    <row r="58" spans="1:11" x14ac:dyDescent="0.3">
      <c r="A58" s="7" t="s">
        <v>27</v>
      </c>
      <c r="B58" s="2" t="s">
        <v>28</v>
      </c>
      <c r="C58" s="2" t="s">
        <v>29</v>
      </c>
      <c r="D58" s="2" t="s">
        <v>30</v>
      </c>
      <c r="E58" s="2" t="s">
        <v>12</v>
      </c>
      <c r="F58" s="2" t="s">
        <v>23</v>
      </c>
      <c r="G58" s="2">
        <v>15.34</v>
      </c>
      <c r="H58" s="2" t="str">
        <f>[1]!Table2[[#This Row],[Quarters(ROUNDUP)]]</f>
        <v>Q1</v>
      </c>
      <c r="I58" s="2">
        <v>3</v>
      </c>
      <c r="J58" s="5">
        <v>46052</v>
      </c>
      <c r="K58" s="9">
        <v>1</v>
      </c>
    </row>
    <row r="59" spans="1:11" x14ac:dyDescent="0.3">
      <c r="A59" s="7" t="s">
        <v>14</v>
      </c>
      <c r="B59" s="2" t="s">
        <v>31</v>
      </c>
      <c r="C59" s="2" t="s">
        <v>32</v>
      </c>
      <c r="D59" s="2" t="s">
        <v>30</v>
      </c>
      <c r="E59" s="2" t="s">
        <v>33</v>
      </c>
      <c r="F59" s="2" t="s">
        <v>34</v>
      </c>
      <c r="G59" s="2">
        <v>3088.58</v>
      </c>
      <c r="H59" s="2" t="str">
        <f>[1]!Table2[[#This Row],[Quarters(ROUNDUP)]]</f>
        <v>Q1</v>
      </c>
      <c r="I59" s="2">
        <v>9</v>
      </c>
      <c r="J59" s="5">
        <v>46052</v>
      </c>
      <c r="K59" s="9">
        <v>1</v>
      </c>
    </row>
    <row r="60" spans="1:11" x14ac:dyDescent="0.3">
      <c r="A60" s="7"/>
      <c r="B60" s="2"/>
      <c r="C60" s="2"/>
      <c r="D60" s="2"/>
      <c r="E60" s="2"/>
      <c r="F60" s="2"/>
      <c r="G60" s="2"/>
      <c r="H60" s="2" t="str">
        <f>[1]!Table2[[#This Row],[Quarters(ROUNDUP)]]</f>
        <v>Q1</v>
      </c>
      <c r="I60" s="2"/>
      <c r="J60" s="5"/>
      <c r="K60" s="9"/>
    </row>
    <row r="61" spans="1:11" x14ac:dyDescent="0.3">
      <c r="A61" s="7"/>
      <c r="B61" s="2"/>
      <c r="C61" s="2"/>
      <c r="D61" s="2"/>
      <c r="E61" s="2"/>
      <c r="F61" s="2"/>
      <c r="G61" s="2"/>
      <c r="H61" s="2" t="str">
        <f>[1]!Table2[[#This Row],[Quarters(ROUNDUP)]]</f>
        <v>Q1</v>
      </c>
      <c r="I61" s="2"/>
      <c r="J61" s="5"/>
      <c r="K61" s="9"/>
    </row>
    <row r="62" spans="1:11" x14ac:dyDescent="0.3">
      <c r="A62" s="7" t="s">
        <v>14</v>
      </c>
      <c r="B62" s="2" t="s">
        <v>31</v>
      </c>
      <c r="C62" s="2" t="s">
        <v>32</v>
      </c>
      <c r="D62" s="2" t="s">
        <v>81</v>
      </c>
      <c r="E62" s="2" t="s">
        <v>12</v>
      </c>
      <c r="F62" s="2" t="s">
        <v>19</v>
      </c>
      <c r="G62" s="2">
        <v>731.98</v>
      </c>
      <c r="H62" s="2" t="str">
        <f>[1]!Table2[[#This Row],[Quarters(ROUNDUP)]]</f>
        <v>Q1</v>
      </c>
      <c r="I62" s="2">
        <v>2</v>
      </c>
      <c r="J62" s="5">
        <v>46052</v>
      </c>
      <c r="K62" s="9">
        <v>1</v>
      </c>
    </row>
    <row r="63" spans="1:11" x14ac:dyDescent="0.3">
      <c r="A63" s="7" t="s">
        <v>14</v>
      </c>
      <c r="B63" s="2" t="s">
        <v>31</v>
      </c>
      <c r="C63" s="2" t="s">
        <v>32</v>
      </c>
      <c r="D63" s="2" t="s">
        <v>65</v>
      </c>
      <c r="E63" s="2" t="s">
        <v>12</v>
      </c>
      <c r="F63" s="2" t="s">
        <v>23</v>
      </c>
      <c r="G63" s="2">
        <v>6.58</v>
      </c>
      <c r="H63" s="2" t="str">
        <f>[1]!Table2[[#This Row],[Quarters(ROUNDUP)]]</f>
        <v>Q1</v>
      </c>
      <c r="I63" s="2">
        <v>2</v>
      </c>
      <c r="J63" s="5">
        <v>46052</v>
      </c>
      <c r="K63" s="9">
        <v>1</v>
      </c>
    </row>
    <row r="64" spans="1:11" x14ac:dyDescent="0.3">
      <c r="A64" s="10" t="s">
        <v>14</v>
      </c>
      <c r="B64" s="11" t="s">
        <v>31</v>
      </c>
      <c r="C64" s="11" t="s">
        <v>32</v>
      </c>
      <c r="D64" s="11" t="s">
        <v>30</v>
      </c>
      <c r="E64" s="11" t="s">
        <v>35</v>
      </c>
      <c r="F64" s="11" t="s">
        <v>36</v>
      </c>
      <c r="G64" s="11">
        <v>470.38</v>
      </c>
      <c r="H64" s="11" t="str">
        <f>[1]!Table2[[#This Row],[Quarters(ROUNDUP)]]</f>
        <v>Q1</v>
      </c>
      <c r="I64" s="11">
        <v>2</v>
      </c>
      <c r="J64" s="12">
        <v>46052</v>
      </c>
      <c r="K64" s="13">
        <v>1</v>
      </c>
    </row>
    <row r="65" spans="1:11" x14ac:dyDescent="0.3">
      <c r="A65" s="7" t="s">
        <v>27</v>
      </c>
      <c r="B65" s="2" t="s">
        <v>42</v>
      </c>
      <c r="C65" s="2" t="s">
        <v>79</v>
      </c>
      <c r="D65" s="2" t="s">
        <v>78</v>
      </c>
      <c r="E65" s="2" t="s">
        <v>12</v>
      </c>
      <c r="F65" s="2" t="s">
        <v>17</v>
      </c>
      <c r="G65" s="2">
        <v>3.47</v>
      </c>
      <c r="H65" s="2" t="str">
        <f>[1]!Table2[[#This Row],[Quarters(ROUNDUP)]]</f>
        <v>Q1</v>
      </c>
      <c r="I65" s="2">
        <v>1</v>
      </c>
      <c r="J65" s="5">
        <v>46045</v>
      </c>
      <c r="K65" s="9">
        <v>1</v>
      </c>
    </row>
    <row r="66" spans="1:11" x14ac:dyDescent="0.3">
      <c r="A66" s="7" t="s">
        <v>27</v>
      </c>
      <c r="B66" s="2" t="s">
        <v>42</v>
      </c>
      <c r="C66" s="2" t="s">
        <v>79</v>
      </c>
      <c r="D66" s="2" t="s">
        <v>78</v>
      </c>
      <c r="E66" s="2" t="s">
        <v>33</v>
      </c>
      <c r="F66" s="2" t="s">
        <v>39</v>
      </c>
      <c r="G66" s="2">
        <v>62.33</v>
      </c>
      <c r="H66" s="2" t="str">
        <f>[1]!Table2[[#This Row],[Quarters(ROUNDUP)]]</f>
        <v>Q1</v>
      </c>
      <c r="I66" s="2">
        <v>1</v>
      </c>
      <c r="J66" s="5">
        <v>46045</v>
      </c>
      <c r="K66" s="9">
        <v>1</v>
      </c>
    </row>
    <row r="67" spans="1:11" x14ac:dyDescent="0.3">
      <c r="A67" s="10" t="s">
        <v>8</v>
      </c>
      <c r="B67" s="11" t="s">
        <v>9</v>
      </c>
      <c r="C67" s="11" t="s">
        <v>10</v>
      </c>
      <c r="D67" s="2" t="s">
        <v>78</v>
      </c>
      <c r="E67" s="11" t="s">
        <v>12</v>
      </c>
      <c r="F67" s="11" t="s">
        <v>13</v>
      </c>
      <c r="G67" s="11">
        <v>19.739999999999998</v>
      </c>
      <c r="H67" s="11" t="str">
        <f>[1]!Table2[[#This Row],[Quarters(ROUNDUP)]]</f>
        <v>Q1</v>
      </c>
      <c r="I67" s="11">
        <v>5</v>
      </c>
      <c r="J67" s="12">
        <v>46052</v>
      </c>
      <c r="K67" s="13">
        <v>1</v>
      </c>
    </row>
  </sheetData>
  <sortState xmlns:xlrd2="http://schemas.microsoft.com/office/spreadsheetml/2017/richdata2" ref="A2:J64">
    <sortCondition ref="J44:J64"/>
  </sortState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50E57-A995-4829-B588-F470ED71B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Popullation Data 2025</vt:lpstr>
      <vt:lpstr>Sheet2</vt:lpstr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Vaity</dc:creator>
  <cp:lastModifiedBy>Sneha Vaity</cp:lastModifiedBy>
  <dcterms:created xsi:type="dcterms:W3CDTF">2026-01-30T10:56:09Z</dcterms:created>
  <dcterms:modified xsi:type="dcterms:W3CDTF">2026-01-30T14:58:58Z</dcterms:modified>
</cp:coreProperties>
</file>